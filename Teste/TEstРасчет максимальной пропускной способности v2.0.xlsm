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filterPrivacy="1" showInkAnnotation="0" codeName="ЭтаКнига"/>
  <xr:revisionPtr revIDLastSave="0" documentId="8_{22C203C7-66BF-41E5-98D2-DFE34C574281}" xr6:coauthVersionLast="47" xr6:coauthVersionMax="47" xr10:uidLastSave="{00000000-0000-0000-0000-000000000000}"/>
  <bookViews>
    <workbookView xWindow="3744" yWindow="1224" windowWidth="17280" windowHeight="8880" firstSheet="3" activeTab="4" xr2:uid="{00000000-000D-0000-FFFF-FFFF00000000}"/>
  </bookViews>
  <sheets>
    <sheet name="Результат" sheetId="9" r:id="rId1"/>
    <sheet name="Исходные данные" sheetId="1" r:id="rId2"/>
    <sheet name="Промежуточный расчет" sheetId="2" r:id="rId3"/>
    <sheet name="Регулятор" sheetId="5" r:id="rId4"/>
    <sheet name="Тепл баланс" sheetId="7" r:id="rId5"/>
    <sheet name="Свх" sheetId="3" r:id="rId6"/>
    <sheet name="Свхвыхкот" sheetId="11" r:id="rId7"/>
    <sheet name="Расчет тепл мощности" sheetId="8" r:id="rId8"/>
  </sheets>
  <externalReferences>
    <externalReference r:id="rId9"/>
  </externalReferences>
  <definedNames>
    <definedName name="D" localSheetId="3">Регулятор!$F$16</definedName>
    <definedName name="D">'[1]Регулятор давления'!$F$16</definedName>
    <definedName name="DPкг" localSheetId="3">Регулятор!$B$37</definedName>
    <definedName name="DPкг">'[1]Регулятор давления'!$B$37</definedName>
    <definedName name="E" localSheetId="3">Регулятор!$B$44</definedName>
    <definedName name="E">'[1]Регулятор давления'!$B$44</definedName>
    <definedName name="Excel_BuiltIn_Print_Area_1" localSheetId="7">#REF!</definedName>
    <definedName name="Excel_BuiltIn_Print_Area_1" localSheetId="6">#REF!</definedName>
    <definedName name="Excel_BuiltIn_Print_Area_1" localSheetId="4">#REF!</definedName>
    <definedName name="Excel_BuiltIn_Print_Area_1">#REF!</definedName>
    <definedName name="Excel_BuiltIn_Print_Area_2" localSheetId="7">'Расчет тепл мощности'!$A$1:$G$97</definedName>
    <definedName name="Excel_BuiltIn_Print_Area_2" localSheetId="6">#REF!</definedName>
    <definedName name="Excel_BuiltIn_Print_Area_2" localSheetId="4">#REF!</definedName>
    <definedName name="Excel_BuiltIn_Print_Area_2">#REF!</definedName>
    <definedName name="Excel_BuiltIn_Print_Area_4" localSheetId="6">Свхвыхкот!$A$1:$I$37</definedName>
    <definedName name="Excel_BuiltIn_Print_Area_4">Свх!$A$1:$I$37</definedName>
    <definedName name="Excel_BuiltIn_Print_Area_5" localSheetId="7">#REF!</definedName>
    <definedName name="Excel_BuiltIn_Print_Area_5" localSheetId="6">#REF!</definedName>
    <definedName name="Excel_BuiltIn_Print_Area_5" localSheetId="4">#REF!</definedName>
    <definedName name="Excel_BuiltIn_Print_Area_5">#REF!</definedName>
    <definedName name="Excel_BuiltIn_Print_Area_6" localSheetId="7">#REF!</definedName>
    <definedName name="Excel_BuiltIn_Print_Area_6" localSheetId="6">#REF!</definedName>
    <definedName name="Excel_BuiltIn_Print_Area_6" localSheetId="4">#REF!</definedName>
    <definedName name="Excel_BuiltIn_Print_Area_6">#REF!</definedName>
    <definedName name="Excel_BuiltIn_Print_Area_7" localSheetId="7">#REF!</definedName>
    <definedName name="Excel_BuiltIn_Print_Area_7" localSheetId="6">#REF!</definedName>
    <definedName name="Excel_BuiltIn_Print_Area_7" localSheetId="4">#REF!</definedName>
    <definedName name="Excel_BuiltIn_Print_Area_7">#REF!</definedName>
    <definedName name="Excel_BuiltIn_Print_Area_8" localSheetId="7">#REF!</definedName>
    <definedName name="Excel_BuiltIn_Print_Area_8" localSheetId="6">#REF!</definedName>
    <definedName name="Excel_BuiltIn_Print_Area_8" localSheetId="4">#REF!</definedName>
    <definedName name="Excel_BuiltIn_Print_Area_8">#REF!</definedName>
    <definedName name="gn" localSheetId="3">Регулятор!$B$43</definedName>
    <definedName name="gn">'[1]Регулятор давления'!$B$43</definedName>
    <definedName name="P_1" localSheetId="3">Регулятор!$F$10</definedName>
    <definedName name="P_1">'[1]Регулятор давления'!$F$10</definedName>
    <definedName name="P_1кг" localSheetId="3">Регулятор!$B$38</definedName>
    <definedName name="P_1кг">'[1]Регулятор давления'!$B$38</definedName>
    <definedName name="P_2" localSheetId="3">Регулятор!$F$12</definedName>
    <definedName name="P_2">'[1]Регулятор давления'!$F$12</definedName>
    <definedName name="P_2кг" localSheetId="3">Регулятор!$B$39</definedName>
    <definedName name="P_2кг">'[1]Регулятор давления'!$B$39</definedName>
    <definedName name="Print_Area" localSheetId="1">'Исходные данные'!$A$1:$AH$42</definedName>
    <definedName name="Print_Area" localSheetId="4">'Тепл баланс'!$A$1:$F$21</definedName>
    <definedName name="Print_Area_0" localSheetId="4">'Тепл баланс'!$A$1:$F$21</definedName>
    <definedName name="Print_Area_0_0" localSheetId="4">'Тепл баланс'!$A$1:$F$21</definedName>
    <definedName name="Print_Area_0_0_0" localSheetId="4">'Тепл баланс'!$A$1:$F$21</definedName>
    <definedName name="Print_Area_0_0_0_0" localSheetId="4">'Тепл баланс'!$A$1:$F$21</definedName>
    <definedName name="Qmax" localSheetId="3">Регулятор!$F$5</definedName>
    <definedName name="Qmax">'[1]Регулятор давления'!$F$5</definedName>
    <definedName name="Qmin" localSheetId="3">Регулятор!$F$8</definedName>
    <definedName name="Qmin">'[1]Регулятор давления'!$F$8</definedName>
    <definedName name="t" localSheetId="3">Регулятор!$F$14</definedName>
    <definedName name="t">'[1]Регулятор давления'!$F$14</definedName>
    <definedName name="T_1" localSheetId="3">Регулятор!$B$42</definedName>
    <definedName name="T_1">'[1]Регулятор давления'!$B$42</definedName>
  </definedNames>
  <calcPr calcId="181029" iterate="1" iterateCount="10000" iterateDelta="1E-1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6" i="7" l="1"/>
  <c r="H11" i="7"/>
  <c r="M76" i="3"/>
  <c r="M55" i="3"/>
  <c r="M60" i="3"/>
  <c r="M61" i="3"/>
  <c r="M62" i="3"/>
  <c r="M63" i="3"/>
  <c r="M64" i="3"/>
  <c r="M65" i="3"/>
  <c r="M66" i="3"/>
  <c r="M67" i="3"/>
  <c r="M77" i="3" s="1"/>
  <c r="M68" i="3"/>
  <c r="M69" i="3"/>
  <c r="M70" i="3"/>
  <c r="M71" i="3"/>
  <c r="M72" i="3"/>
  <c r="M73" i="3"/>
  <c r="M74" i="3"/>
  <c r="M75" i="3"/>
  <c r="M48" i="3"/>
  <c r="M49" i="3"/>
  <c r="M50" i="3"/>
  <c r="M51" i="3"/>
  <c r="M52" i="3"/>
  <c r="M53" i="3"/>
  <c r="M54" i="3"/>
  <c r="M56" i="3"/>
  <c r="M57" i="3"/>
  <c r="M58" i="3"/>
  <c r="M59" i="3"/>
  <c r="M47" i="3"/>
  <c r="F32" i="1"/>
  <c r="J17" i="7"/>
  <c r="F24" i="3"/>
  <c r="F5" i="3"/>
  <c r="F10" i="2"/>
  <c r="F9" i="2"/>
  <c r="F16" i="2" s="1"/>
  <c r="F15" i="2" s="1"/>
  <c r="F8" i="2"/>
  <c r="O5" i="11" l="1"/>
  <c r="O4" i="11"/>
  <c r="F5" i="11"/>
  <c r="F4" i="11"/>
  <c r="C76" i="11"/>
  <c r="D76" i="11" s="1"/>
  <c r="C75" i="11"/>
  <c r="D75" i="11" s="1"/>
  <c r="Q75" i="11" s="1"/>
  <c r="C74" i="11"/>
  <c r="D74" i="11" s="1"/>
  <c r="C73" i="11"/>
  <c r="D73" i="11" s="1"/>
  <c r="Q73" i="11" s="1"/>
  <c r="C72" i="11"/>
  <c r="D72" i="11" s="1"/>
  <c r="M72" i="11" s="1"/>
  <c r="C71" i="11"/>
  <c r="D71" i="11" s="1"/>
  <c r="C70" i="11"/>
  <c r="D70" i="11" s="1"/>
  <c r="C69" i="11"/>
  <c r="D69" i="11" s="1"/>
  <c r="C68" i="11"/>
  <c r="D68" i="11" s="1"/>
  <c r="U68" i="11" s="1"/>
  <c r="C67" i="11"/>
  <c r="D67" i="11" s="1"/>
  <c r="C66" i="11"/>
  <c r="D66" i="11" s="1"/>
  <c r="C65" i="11"/>
  <c r="D65" i="11" s="1"/>
  <c r="O65" i="11" s="1"/>
  <c r="C64" i="11"/>
  <c r="D64" i="11" s="1"/>
  <c r="U64" i="11" s="1"/>
  <c r="C63" i="11"/>
  <c r="D63" i="11" s="1"/>
  <c r="C62" i="11"/>
  <c r="D62" i="11" s="1"/>
  <c r="C61" i="11"/>
  <c r="D61" i="11" s="1"/>
  <c r="C60" i="11"/>
  <c r="D60" i="11" s="1"/>
  <c r="C59" i="11"/>
  <c r="D59" i="11" s="1"/>
  <c r="C58" i="11"/>
  <c r="D58" i="11" s="1"/>
  <c r="C57" i="11"/>
  <c r="D57" i="11" s="1"/>
  <c r="M57" i="11" s="1"/>
  <c r="C56" i="11"/>
  <c r="D56" i="11" s="1"/>
  <c r="U56" i="11" s="1"/>
  <c r="C55" i="11"/>
  <c r="D55" i="11" s="1"/>
  <c r="C54" i="11"/>
  <c r="D54" i="11" s="1"/>
  <c r="C53" i="11"/>
  <c r="D53" i="11" s="1"/>
  <c r="C52" i="11"/>
  <c r="D52" i="11" s="1"/>
  <c r="C51" i="11"/>
  <c r="D51" i="11" s="1"/>
  <c r="Q51" i="11" s="1"/>
  <c r="C50" i="11"/>
  <c r="D50" i="11" s="1"/>
  <c r="C49" i="11"/>
  <c r="D49" i="11" s="1"/>
  <c r="M49" i="11" s="1"/>
  <c r="C48" i="11"/>
  <c r="D48" i="11" s="1"/>
  <c r="U48" i="11" s="1"/>
  <c r="C47" i="11"/>
  <c r="D47" i="11" s="1"/>
  <c r="J5" i="11"/>
  <c r="J6" i="11" s="1"/>
  <c r="J7" i="11" s="1"/>
  <c r="J8" i="11" s="1"/>
  <c r="J9" i="11" s="1"/>
  <c r="J10" i="11" s="1"/>
  <c r="J11" i="11" s="1"/>
  <c r="J12" i="11" s="1"/>
  <c r="J13" i="11" s="1"/>
  <c r="J14" i="11" s="1"/>
  <c r="J15" i="11" s="1"/>
  <c r="J16" i="11" s="1"/>
  <c r="J17" i="11" s="1"/>
  <c r="J18" i="11" s="1"/>
  <c r="J19" i="11" s="1"/>
  <c r="J20" i="11" s="1"/>
  <c r="J21" i="11" s="1"/>
  <c r="J22" i="11" s="1"/>
  <c r="J23" i="11" s="1"/>
  <c r="J24" i="11" s="1"/>
  <c r="J25" i="11" s="1"/>
  <c r="J26" i="11" s="1"/>
  <c r="J27" i="11" s="1"/>
  <c r="J28" i="11" s="1"/>
  <c r="J29" i="11" s="1"/>
  <c r="J30" i="11" s="1"/>
  <c r="J31" i="11" s="1"/>
  <c r="J32" i="11" s="1"/>
  <c r="J33" i="11" s="1"/>
  <c r="J34" i="11" s="1"/>
  <c r="J35" i="11" s="1"/>
  <c r="J36" i="11" s="1"/>
  <c r="J37" i="11" s="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U73" i="11" l="1"/>
  <c r="S65" i="11"/>
  <c r="Q57" i="11"/>
  <c r="S57" i="11"/>
  <c r="U57" i="11"/>
  <c r="Q65" i="11"/>
  <c r="U65" i="11"/>
  <c r="M64" i="11"/>
  <c r="O72" i="11"/>
  <c r="O49" i="11"/>
  <c r="O64" i="11"/>
  <c r="Q72" i="11"/>
  <c r="Q49" i="11"/>
  <c r="Q64" i="11"/>
  <c r="S72" i="11"/>
  <c r="S49" i="11"/>
  <c r="S64" i="11"/>
  <c r="U72" i="11"/>
  <c r="U49" i="11"/>
  <c r="O57" i="11"/>
  <c r="S73" i="11"/>
  <c r="U74" i="11"/>
  <c r="S74" i="11"/>
  <c r="M74" i="11"/>
  <c r="Q74" i="11"/>
  <c r="O74" i="11"/>
  <c r="U58" i="11"/>
  <c r="O58" i="11"/>
  <c r="S58" i="11"/>
  <c r="Q58" i="11"/>
  <c r="M58" i="11"/>
  <c r="U66" i="11"/>
  <c r="Q66" i="11"/>
  <c r="M66" i="11"/>
  <c r="O66" i="11"/>
  <c r="S66" i="11"/>
  <c r="U50" i="11"/>
  <c r="O50" i="11"/>
  <c r="M50" i="11"/>
  <c r="Q50" i="11"/>
  <c r="S50" i="11"/>
  <c r="M48" i="11"/>
  <c r="O75" i="11"/>
  <c r="O56" i="11"/>
  <c r="Q48" i="11"/>
  <c r="S48" i="11"/>
  <c r="S56" i="11"/>
  <c r="M65" i="11"/>
  <c r="O73" i="11"/>
  <c r="M56" i="11"/>
  <c r="O48" i="11"/>
  <c r="Q56" i="11"/>
  <c r="M73" i="11"/>
  <c r="S52" i="11"/>
  <c r="Q52" i="11"/>
  <c r="O52" i="11"/>
  <c r="M52" i="11"/>
  <c r="U52" i="11"/>
  <c r="Q61" i="11"/>
  <c r="O61" i="11"/>
  <c r="U61" i="11"/>
  <c r="S61" i="11"/>
  <c r="M61" i="11"/>
  <c r="O70" i="11"/>
  <c r="M70" i="11"/>
  <c r="S70" i="11"/>
  <c r="Q70" i="11"/>
  <c r="U70" i="11"/>
  <c r="Q53" i="11"/>
  <c r="O53" i="11"/>
  <c r="U53" i="11"/>
  <c r="S53" i="11"/>
  <c r="M53" i="11"/>
  <c r="O62" i="11"/>
  <c r="M62" i="11"/>
  <c r="U62" i="11"/>
  <c r="S62" i="11"/>
  <c r="Q62" i="11"/>
  <c r="M71" i="11"/>
  <c r="U71" i="11"/>
  <c r="S71" i="11"/>
  <c r="O71" i="11"/>
  <c r="Q71" i="11"/>
  <c r="O54" i="11"/>
  <c r="M54" i="11"/>
  <c r="U54" i="11"/>
  <c r="S54" i="11"/>
  <c r="Q54" i="11"/>
  <c r="M63" i="11"/>
  <c r="U63" i="11"/>
  <c r="O63" i="11"/>
  <c r="S63" i="11"/>
  <c r="Q63" i="11"/>
  <c r="M55" i="11"/>
  <c r="U55" i="11"/>
  <c r="S55" i="11"/>
  <c r="Q55" i="11"/>
  <c r="O55" i="11"/>
  <c r="S60" i="11"/>
  <c r="Q60" i="11"/>
  <c r="O60" i="11"/>
  <c r="M60" i="11"/>
  <c r="U60" i="11"/>
  <c r="Q69" i="11"/>
  <c r="O69" i="11"/>
  <c r="U69" i="11"/>
  <c r="S69" i="11"/>
  <c r="M69" i="11"/>
  <c r="M47" i="11"/>
  <c r="U47" i="11"/>
  <c r="Q47" i="11"/>
  <c r="S47" i="11"/>
  <c r="S76" i="11"/>
  <c r="Q76" i="11"/>
  <c r="O76" i="11"/>
  <c r="M76" i="11"/>
  <c r="U67" i="11"/>
  <c r="S67" i="11"/>
  <c r="M67" i="11"/>
  <c r="U76" i="11"/>
  <c r="U59" i="11"/>
  <c r="S59" i="11"/>
  <c r="M59" i="11"/>
  <c r="O67" i="11"/>
  <c r="U51" i="11"/>
  <c r="S51" i="11"/>
  <c r="M51" i="11"/>
  <c r="O59" i="11"/>
  <c r="Q67" i="11"/>
  <c r="D77" i="11"/>
  <c r="S68" i="11"/>
  <c r="Q68" i="11"/>
  <c r="O68" i="11"/>
  <c r="M68" i="11"/>
  <c r="O47" i="11"/>
  <c r="O51" i="11"/>
  <c r="Q59" i="11"/>
  <c r="U75" i="11"/>
  <c r="S75" i="11"/>
  <c r="M75" i="11"/>
  <c r="O77" i="11" l="1"/>
  <c r="M77" i="11"/>
  <c r="S77" i="11"/>
  <c r="U77" i="11"/>
  <c r="Q77" i="11"/>
  <c r="O8" i="11" l="1"/>
  <c r="F8" i="11"/>
  <c r="O12" i="11"/>
  <c r="O13" i="11" s="1"/>
  <c r="F12" i="11"/>
  <c r="F13" i="11" s="1"/>
  <c r="E57" i="11"/>
  <c r="X57" i="11" s="1"/>
  <c r="E59" i="11"/>
  <c r="X59" i="11" s="1"/>
  <c r="E73" i="11"/>
  <c r="X73" i="11" s="1"/>
  <c r="E48" i="11"/>
  <c r="X48" i="11" s="1"/>
  <c r="E64" i="11"/>
  <c r="X64" i="11" s="1"/>
  <c r="E72" i="11"/>
  <c r="X72" i="11" s="1"/>
  <c r="E53" i="11"/>
  <c r="X53" i="11" s="1"/>
  <c r="E65" i="11"/>
  <c r="X65" i="11" s="1"/>
  <c r="E75" i="11"/>
  <c r="X75" i="11" s="1"/>
  <c r="E70" i="11"/>
  <c r="X70" i="11" s="1"/>
  <c r="E54" i="11"/>
  <c r="X54" i="11" s="1"/>
  <c r="E50" i="11"/>
  <c r="X50" i="11" s="1"/>
  <c r="E52" i="11"/>
  <c r="X52" i="11" s="1"/>
  <c r="E58" i="11"/>
  <c r="X58" i="11" s="1"/>
  <c r="E47" i="11"/>
  <c r="E68" i="11"/>
  <c r="X68" i="11" s="1"/>
  <c r="E71" i="11"/>
  <c r="X71" i="11" s="1"/>
  <c r="E49" i="11"/>
  <c r="X49" i="11" s="1"/>
  <c r="E55" i="11"/>
  <c r="X55" i="11" s="1"/>
  <c r="E60" i="11"/>
  <c r="X60" i="11" s="1"/>
  <c r="E69" i="11"/>
  <c r="X69" i="11" s="1"/>
  <c r="E56" i="11"/>
  <c r="X56" i="11" s="1"/>
  <c r="E61" i="11"/>
  <c r="X61" i="11" s="1"/>
  <c r="E67" i="11"/>
  <c r="X67" i="11" s="1"/>
  <c r="E62" i="11"/>
  <c r="X62" i="11" s="1"/>
  <c r="E63" i="11"/>
  <c r="X63" i="11" s="1"/>
  <c r="E51" i="11"/>
  <c r="X51" i="11" s="1"/>
  <c r="E66" i="11"/>
  <c r="X66" i="11" s="1"/>
  <c r="E76" i="11"/>
  <c r="X76" i="11" s="1"/>
  <c r="E74" i="11"/>
  <c r="X74" i="11" s="1"/>
  <c r="O15" i="11"/>
  <c r="O17" i="11" s="1"/>
  <c r="F15" i="11"/>
  <c r="F17" i="11" s="1"/>
  <c r="O14" i="11"/>
  <c r="O16" i="11" s="1"/>
  <c r="F14" i="11"/>
  <c r="F16" i="11" s="1"/>
  <c r="O32" i="11" l="1"/>
  <c r="O31" i="11"/>
  <c r="O30" i="11"/>
  <c r="O36" i="11"/>
  <c r="O26" i="11"/>
  <c r="O24" i="11"/>
  <c r="O20" i="11"/>
  <c r="O18" i="11"/>
  <c r="O21" i="11"/>
  <c r="O35" i="11"/>
  <c r="O37" i="11" s="1"/>
  <c r="O25" i="11"/>
  <c r="O33" i="11"/>
  <c r="O27" i="11"/>
  <c r="O19" i="11"/>
  <c r="X47" i="11"/>
  <c r="X77" i="11" s="1"/>
  <c r="E77" i="11"/>
  <c r="F35" i="11"/>
  <c r="F32" i="11"/>
  <c r="F27" i="11"/>
  <c r="F24" i="11"/>
  <c r="F26" i="11"/>
  <c r="F21" i="11"/>
  <c r="F19" i="11"/>
  <c r="F25" i="11"/>
  <c r="F20" i="11"/>
  <c r="F36" i="11"/>
  <c r="F18" i="11"/>
  <c r="F33" i="11"/>
  <c r="F31" i="11"/>
  <c r="F30" i="11"/>
  <c r="O22" i="11" l="1"/>
  <c r="O23" i="11" s="1"/>
  <c r="G8" i="8" s="1"/>
  <c r="O34" i="11"/>
  <c r="O9" i="11"/>
  <c r="F34" i="11"/>
  <c r="F22" i="11"/>
  <c r="F23" i="11" s="1"/>
  <c r="G7" i="8" s="1"/>
  <c r="F28" i="11"/>
  <c r="F37" i="11"/>
  <c r="F9" i="11" s="1"/>
  <c r="O28" i="11"/>
  <c r="P22" i="11" l="1"/>
  <c r="O29" i="11"/>
  <c r="F29" i="11"/>
  <c r="G4" i="8" l="1"/>
  <c r="C47" i="3" l="1"/>
  <c r="D47" i="3" s="1"/>
  <c r="O47" i="3" l="1"/>
  <c r="U47" i="3"/>
  <c r="S47" i="3"/>
  <c r="Q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D73" i="3" s="1"/>
  <c r="C74" i="3"/>
  <c r="C75" i="3"/>
  <c r="C76" i="3"/>
  <c r="B4" i="8"/>
  <c r="B5" i="8" s="1"/>
  <c r="B6" i="8" s="1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B33" i="8" s="1"/>
  <c r="B34" i="8" s="1"/>
  <c r="G5" i="8"/>
  <c r="G10" i="8"/>
  <c r="G12" i="8" s="1"/>
  <c r="G18" i="8"/>
  <c r="G25" i="8"/>
  <c r="G29" i="8"/>
  <c r="A7" i="7"/>
  <c r="A8" i="7" s="1"/>
  <c r="A9" i="7" s="1"/>
  <c r="A10" i="7" s="1"/>
  <c r="A11" i="7" s="1"/>
  <c r="A12" i="7" s="1"/>
  <c r="A13" i="7" s="1"/>
  <c r="A14" i="7" s="1"/>
  <c r="A17" i="7" s="1"/>
  <c r="H7" i="7"/>
  <c r="H8" i="7" s="1"/>
  <c r="F13" i="7"/>
  <c r="B38" i="5" l="1"/>
  <c r="B39" i="5"/>
  <c r="B40" i="5"/>
  <c r="B41" i="5"/>
  <c r="B42" i="5"/>
  <c r="B37" i="5" l="1"/>
  <c r="B44" i="5"/>
  <c r="K22" i="5" l="1"/>
  <c r="E22" i="5"/>
  <c r="O4" i="3"/>
  <c r="A5" i="3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J5" i="3"/>
  <c r="J6" i="3"/>
  <c r="J7" i="3" s="1"/>
  <c r="J8" i="3" s="1"/>
  <c r="J9" i="3" s="1"/>
  <c r="J10" i="3" s="1"/>
  <c r="J11" i="3" s="1"/>
  <c r="J12" i="3" s="1"/>
  <c r="J13" i="3" s="1"/>
  <c r="J14" i="3" s="1"/>
  <c r="J15" i="3" s="1"/>
  <c r="J16" i="3" s="1"/>
  <c r="J17" i="3" s="1"/>
  <c r="J18" i="3" s="1"/>
  <c r="J19" i="3" s="1"/>
  <c r="J20" i="3" s="1"/>
  <c r="J21" i="3" s="1"/>
  <c r="J22" i="3" s="1"/>
  <c r="J23" i="3" s="1"/>
  <c r="J24" i="3" s="1"/>
  <c r="J25" i="3" s="1"/>
  <c r="J26" i="3" s="1"/>
  <c r="J27" i="3" s="1"/>
  <c r="J28" i="3" s="1"/>
  <c r="J29" i="3" s="1"/>
  <c r="J30" i="3" s="1"/>
  <c r="J31" i="3" s="1"/>
  <c r="J32" i="3" s="1"/>
  <c r="J33" i="3" s="1"/>
  <c r="J34" i="3" s="1"/>
  <c r="J35" i="3" s="1"/>
  <c r="J36" i="3" s="1"/>
  <c r="J37" i="3" s="1"/>
  <c r="D48" i="3"/>
  <c r="D49" i="3"/>
  <c r="U49" i="3" s="1"/>
  <c r="D50" i="3"/>
  <c r="D51" i="3"/>
  <c r="U51" i="3" s="1"/>
  <c r="D52" i="3"/>
  <c r="S52" i="3" s="1"/>
  <c r="D53" i="3"/>
  <c r="S53" i="3" s="1"/>
  <c r="D54" i="3"/>
  <c r="D55" i="3"/>
  <c r="U55" i="3" s="1"/>
  <c r="D56" i="3"/>
  <c r="S56" i="3" s="1"/>
  <c r="D57" i="3"/>
  <c r="S57" i="3" s="1"/>
  <c r="D58" i="3"/>
  <c r="S58" i="3" s="1"/>
  <c r="D59" i="3"/>
  <c r="U59" i="3" s="1"/>
  <c r="S59" i="3"/>
  <c r="D60" i="3"/>
  <c r="D61" i="3"/>
  <c r="U61" i="3" s="1"/>
  <c r="D62" i="3"/>
  <c r="S62" i="3" s="1"/>
  <c r="D63" i="3"/>
  <c r="D64" i="3"/>
  <c r="U64" i="3" s="1"/>
  <c r="D65" i="3"/>
  <c r="U65" i="3" s="1"/>
  <c r="D66" i="3"/>
  <c r="S66" i="3" s="1"/>
  <c r="D67" i="3"/>
  <c r="S67" i="3" s="1"/>
  <c r="D68" i="3"/>
  <c r="S68" i="3" s="1"/>
  <c r="D69" i="3"/>
  <c r="S69" i="3" s="1"/>
  <c r="D70" i="3"/>
  <c r="S70" i="3" s="1"/>
  <c r="D71" i="3"/>
  <c r="U71" i="3" s="1"/>
  <c r="D72" i="3"/>
  <c r="U72" i="3" s="1"/>
  <c r="S73" i="3"/>
  <c r="U73" i="3"/>
  <c r="D74" i="3"/>
  <c r="S74" i="3" s="1"/>
  <c r="D75" i="3"/>
  <c r="U75" i="3" s="1"/>
  <c r="D76" i="3"/>
  <c r="U76" i="3" s="1"/>
  <c r="S64" i="3" l="1"/>
  <c r="U54" i="3"/>
  <c r="S61" i="3"/>
  <c r="S54" i="3"/>
  <c r="S72" i="3"/>
  <c r="S65" i="3"/>
  <c r="S75" i="3"/>
  <c r="U53" i="3"/>
  <c r="U67" i="3"/>
  <c r="U57" i="3"/>
  <c r="U70" i="3"/>
  <c r="U56" i="3"/>
  <c r="U69" i="3"/>
  <c r="U62" i="3"/>
  <c r="D77" i="3"/>
  <c r="O76" i="3"/>
  <c r="Q76" i="3"/>
  <c r="O60" i="3"/>
  <c r="Q60" i="3"/>
  <c r="Q63" i="3"/>
  <c r="O63" i="3"/>
  <c r="Q50" i="3"/>
  <c r="O50" i="3"/>
  <c r="O74" i="3"/>
  <c r="Q74" i="3"/>
  <c r="O58" i="3"/>
  <c r="Q58" i="3"/>
  <c r="Q61" i="3"/>
  <c r="O61" i="3"/>
  <c r="O72" i="3"/>
  <c r="Q72" i="3"/>
  <c r="O51" i="3"/>
  <c r="Q51" i="3"/>
  <c r="S51" i="3"/>
  <c r="O75" i="3"/>
  <c r="Q75" i="3"/>
  <c r="U68" i="3"/>
  <c r="S76" i="3"/>
  <c r="O62" i="3"/>
  <c r="Q62" i="3"/>
  <c r="O68" i="3"/>
  <c r="Q68" i="3"/>
  <c r="O52" i="3"/>
  <c r="Q52" i="3"/>
  <c r="O71" i="3"/>
  <c r="Q71" i="3"/>
  <c r="Q55" i="3"/>
  <c r="O55" i="3"/>
  <c r="Q48" i="3"/>
  <c r="S48" i="3"/>
  <c r="O48" i="3"/>
  <c r="O66" i="3"/>
  <c r="Q66" i="3"/>
  <c r="O69" i="3"/>
  <c r="Q69" i="3"/>
  <c r="Q53" i="3"/>
  <c r="O53" i="3"/>
  <c r="O64" i="3"/>
  <c r="Q64" i="3"/>
  <c r="O56" i="3"/>
  <c r="Q56" i="3"/>
  <c r="O67" i="3"/>
  <c r="Q67" i="3"/>
  <c r="U60" i="3"/>
  <c r="Q59" i="3"/>
  <c r="O59" i="3"/>
  <c r="U52" i="3"/>
  <c r="O49" i="3"/>
  <c r="Q49" i="3"/>
  <c r="S49" i="3"/>
  <c r="O70" i="3"/>
  <c r="Q70" i="3"/>
  <c r="U63" i="3"/>
  <c r="S60" i="3"/>
  <c r="O54" i="3"/>
  <c r="Q54" i="3"/>
  <c r="U50" i="3"/>
  <c r="U74" i="3"/>
  <c r="O73" i="3"/>
  <c r="Q73" i="3"/>
  <c r="S71" i="3"/>
  <c r="U66" i="3"/>
  <c r="Q65" i="3"/>
  <c r="O65" i="3"/>
  <c r="S63" i="3"/>
  <c r="U58" i="3"/>
  <c r="Q57" i="3"/>
  <c r="O57" i="3"/>
  <c r="S55" i="3"/>
  <c r="S50" i="3"/>
  <c r="U48" i="3"/>
  <c r="U77" i="3" s="1"/>
  <c r="F8" i="3" s="1"/>
  <c r="S77" i="3" l="1"/>
  <c r="Q77" i="3"/>
  <c r="F12" i="3" s="1"/>
  <c r="F13" i="3" s="1"/>
  <c r="O77" i="3"/>
  <c r="F14" i="3" s="1"/>
  <c r="O15" i="3"/>
  <c r="E47" i="3" l="1"/>
  <c r="X47" i="3" s="1"/>
  <c r="E54" i="3"/>
  <c r="F15" i="3"/>
  <c r="F17" i="3" s="1"/>
  <c r="O17" i="3"/>
  <c r="O14" i="3"/>
  <c r="O16" i="3" s="1"/>
  <c r="F16" i="3"/>
  <c r="O8" i="3"/>
  <c r="E65" i="3"/>
  <c r="X65" i="3" s="1"/>
  <c r="E73" i="3"/>
  <c r="X73" i="3" s="1"/>
  <c r="E70" i="3"/>
  <c r="X70" i="3" s="1"/>
  <c r="E49" i="3"/>
  <c r="X49" i="3" s="1"/>
  <c r="E59" i="3"/>
  <c r="X59" i="3" s="1"/>
  <c r="E67" i="3"/>
  <c r="X67" i="3" s="1"/>
  <c r="E56" i="3"/>
  <c r="X56" i="3" s="1"/>
  <c r="E72" i="3"/>
  <c r="X72" i="3" s="1"/>
  <c r="E53" i="3"/>
  <c r="X53" i="3" s="1"/>
  <c r="E69" i="3"/>
  <c r="X69" i="3" s="1"/>
  <c r="E58" i="3"/>
  <c r="X58" i="3" s="1"/>
  <c r="E74" i="3"/>
  <c r="X74" i="3" s="1"/>
  <c r="E48" i="3"/>
  <c r="X48" i="3" s="1"/>
  <c r="E55" i="3"/>
  <c r="X55" i="3" s="1"/>
  <c r="E71" i="3"/>
  <c r="X71" i="3" s="1"/>
  <c r="E57" i="3"/>
  <c r="X57" i="3" s="1"/>
  <c r="X54" i="3"/>
  <c r="E62" i="3"/>
  <c r="X62" i="3" s="1"/>
  <c r="E75" i="3"/>
  <c r="X75" i="3" s="1"/>
  <c r="E51" i="3"/>
  <c r="X51" i="3" s="1"/>
  <c r="E64" i="3"/>
  <c r="X64" i="3" s="1"/>
  <c r="E61" i="3"/>
  <c r="X61" i="3" s="1"/>
  <c r="E66" i="3"/>
  <c r="X66" i="3" s="1"/>
  <c r="E50" i="3"/>
  <c r="X50" i="3" s="1"/>
  <c r="E63" i="3"/>
  <c r="X63" i="3" s="1"/>
  <c r="E52" i="3"/>
  <c r="X52" i="3" s="1"/>
  <c r="E68" i="3"/>
  <c r="X68" i="3" s="1"/>
  <c r="E76" i="3"/>
  <c r="X76" i="3" s="1"/>
  <c r="E60" i="3"/>
  <c r="X60" i="3" s="1"/>
  <c r="O12" i="3"/>
  <c r="O13" i="3" s="1"/>
  <c r="O30" i="3" l="1"/>
  <c r="O31" i="3"/>
  <c r="O32" i="3"/>
  <c r="F20" i="3"/>
  <c r="F35" i="3"/>
  <c r="F33" i="3"/>
  <c r="F30" i="3"/>
  <c r="F16" i="5"/>
  <c r="B43" i="5" s="1"/>
  <c r="E31" i="5"/>
  <c r="K31" i="5"/>
  <c r="I11" i="5"/>
  <c r="X77" i="3"/>
  <c r="E77" i="3"/>
  <c r="O18" i="3"/>
  <c r="O20" i="3"/>
  <c r="O24" i="3"/>
  <c r="O26" i="3"/>
  <c r="O36" i="3"/>
  <c r="O25" i="3"/>
  <c r="O19" i="3"/>
  <c r="O27" i="3"/>
  <c r="O35" i="3"/>
  <c r="O37" i="3" s="1"/>
  <c r="O21" i="3"/>
  <c r="O33" i="3"/>
  <c r="O34" i="3" s="1"/>
  <c r="H10" i="7" s="1"/>
  <c r="F19" i="3"/>
  <c r="F27" i="3"/>
  <c r="F31" i="3"/>
  <c r="F21" i="3"/>
  <c r="F25" i="3"/>
  <c r="F18" i="3"/>
  <c r="F26" i="3"/>
  <c r="F32" i="3"/>
  <c r="F36" i="3"/>
  <c r="O22" i="3" l="1"/>
  <c r="O23" i="3" s="1"/>
  <c r="F10" i="7"/>
  <c r="F34" i="3"/>
  <c r="F37" i="3"/>
  <c r="F9" i="3" s="1"/>
  <c r="F28" i="3"/>
  <c r="O9" i="3"/>
  <c r="F22" i="3"/>
  <c r="F23" i="3" s="1"/>
  <c r="O28" i="3"/>
  <c r="I16" i="7" l="1"/>
  <c r="I17" i="7" s="1"/>
  <c r="J18" i="7" s="1"/>
  <c r="L17" i="7" s="1"/>
  <c r="F14" i="2"/>
  <c r="F5" i="2" s="1"/>
  <c r="F29" i="3"/>
  <c r="F13" i="2"/>
  <c r="O29" i="3"/>
  <c r="G6" i="8" l="1"/>
  <c r="G9" i="8" s="1"/>
  <c r="F15" i="7" s="1"/>
  <c r="F16" i="7" s="1"/>
  <c r="G15" i="8"/>
  <c r="G19" i="8" s="1"/>
  <c r="F17" i="7"/>
  <c r="G22" i="8" l="1"/>
  <c r="G30" i="8" l="1"/>
  <c r="G26" i="8"/>
</calcChain>
</file>

<file path=xl/sharedStrings.xml><?xml version="1.0" encoding="utf-8"?>
<sst xmlns="http://schemas.openxmlformats.org/spreadsheetml/2006/main" count="1001" uniqueCount="347">
  <si>
    <t xml:space="preserve">Исходные данные для расчета </t>
  </si>
  <si>
    <t>Наименование</t>
  </si>
  <si>
    <t>Формула</t>
  </si>
  <si>
    <t xml:space="preserve">% Содержание </t>
  </si>
  <si>
    <t>Метан</t>
  </si>
  <si>
    <t>СН4</t>
  </si>
  <si>
    <t>Этан</t>
  </si>
  <si>
    <t>С2Н6</t>
  </si>
  <si>
    <t>Пропан</t>
  </si>
  <si>
    <t>С3Н8</t>
  </si>
  <si>
    <t>н-Бутан</t>
  </si>
  <si>
    <t>н-С4Н10</t>
  </si>
  <si>
    <t>и-Бутан</t>
  </si>
  <si>
    <t>и-С4Н10</t>
  </si>
  <si>
    <t>н-Пентан</t>
  </si>
  <si>
    <t>н-С5Н12</t>
  </si>
  <si>
    <t>и-Пентан</t>
  </si>
  <si>
    <t>и-С5Н12</t>
  </si>
  <si>
    <t>н-Гексан</t>
  </si>
  <si>
    <t>н-С6Н14</t>
  </si>
  <si>
    <t>н-Гептан</t>
  </si>
  <si>
    <t>н-С7Н16</t>
  </si>
  <si>
    <t>н-Октан</t>
  </si>
  <si>
    <t>н-С8Н18</t>
  </si>
  <si>
    <t>Ацетилен</t>
  </si>
  <si>
    <t>С2Н2</t>
  </si>
  <si>
    <t>Этилен</t>
  </si>
  <si>
    <t>С2Н4</t>
  </si>
  <si>
    <t>Пропилен</t>
  </si>
  <si>
    <t>С3Н6</t>
  </si>
  <si>
    <t>Бензол</t>
  </si>
  <si>
    <t>С6Н6</t>
  </si>
  <si>
    <t>Толуол</t>
  </si>
  <si>
    <t>С7Н8</t>
  </si>
  <si>
    <t>Водород</t>
  </si>
  <si>
    <t>Н2</t>
  </si>
  <si>
    <t>Водяной пар</t>
  </si>
  <si>
    <t>Н2О</t>
  </si>
  <si>
    <t>Аммиак</t>
  </si>
  <si>
    <t>Н3N</t>
  </si>
  <si>
    <t>Метанол</t>
  </si>
  <si>
    <t>СН3ОН</t>
  </si>
  <si>
    <t>Сероводород</t>
  </si>
  <si>
    <t>Н2S</t>
  </si>
  <si>
    <t>Метилмеркаптан</t>
  </si>
  <si>
    <t>СН3SН</t>
  </si>
  <si>
    <t>Диоксид серы</t>
  </si>
  <si>
    <t>SО2</t>
  </si>
  <si>
    <t>Гелий</t>
  </si>
  <si>
    <t>Не</t>
  </si>
  <si>
    <t>Неон</t>
  </si>
  <si>
    <t>Nе</t>
  </si>
  <si>
    <t>Аргон</t>
  </si>
  <si>
    <t>Аr</t>
  </si>
  <si>
    <t>Моноксид углерода</t>
  </si>
  <si>
    <t>СО</t>
  </si>
  <si>
    <t>Азот</t>
  </si>
  <si>
    <t>N2</t>
  </si>
  <si>
    <t>Воздух</t>
  </si>
  <si>
    <t>Кислород</t>
  </si>
  <si>
    <t>О2</t>
  </si>
  <si>
    <t>Диоксид углерода</t>
  </si>
  <si>
    <t>СО2</t>
  </si>
  <si>
    <t>Температура газа на входе в ГРС</t>
  </si>
  <si>
    <t>Температура газа на выходе из ГРС</t>
  </si>
  <si>
    <t>Температура газа перед регулятором</t>
  </si>
  <si>
    <t>Количество линий</t>
  </si>
  <si>
    <t>Таблица2</t>
  </si>
  <si>
    <t>Диаметр трубы, мм</t>
  </si>
  <si>
    <t>Толщина стенки трубы, мм</t>
  </si>
  <si>
    <t>Внутренний диаметр трубы, мм</t>
  </si>
  <si>
    <r>
      <t>Площадь проходного сечения трубы , м</t>
    </r>
    <r>
      <rPr>
        <vertAlign val="superscript"/>
        <sz val="10"/>
        <rFont val="Arial"/>
        <family val="2"/>
        <charset val="204"/>
      </rPr>
      <t>2</t>
    </r>
  </si>
  <si>
    <r>
      <t>Давление подогреваемого газа Р</t>
    </r>
    <r>
      <rPr>
        <vertAlign val="subscript"/>
        <sz val="10"/>
        <rFont val="Arial"/>
        <family val="2"/>
        <charset val="204"/>
      </rPr>
      <t>г</t>
    </r>
    <r>
      <rPr>
        <sz val="11"/>
        <color theme="1"/>
        <rFont val="Calibri"/>
        <family val="2"/>
        <scheme val="minor"/>
      </rPr>
      <t>, кгс/см</t>
    </r>
    <r>
      <rPr>
        <vertAlign val="superscript"/>
        <sz val="10"/>
        <rFont val="Arial"/>
        <family val="2"/>
        <charset val="204"/>
      </rPr>
      <t>2</t>
    </r>
  </si>
  <si>
    <r>
      <t>Давление подогреваемого газа Р</t>
    </r>
    <r>
      <rPr>
        <vertAlign val="subscript"/>
        <sz val="10"/>
        <rFont val="Arial"/>
        <family val="2"/>
        <charset val="204"/>
      </rPr>
      <t>г</t>
    </r>
    <r>
      <rPr>
        <sz val="11"/>
        <color theme="1"/>
        <rFont val="Calibri"/>
        <family val="2"/>
        <scheme val="minor"/>
      </rPr>
      <t>, МПа</t>
    </r>
  </si>
  <si>
    <r>
      <t>Температура газа t</t>
    </r>
    <r>
      <rPr>
        <vertAlign val="subscript"/>
        <sz val="10"/>
        <rFont val="Arial"/>
        <family val="2"/>
        <charset val="204"/>
      </rPr>
      <t>ср</t>
    </r>
    <r>
      <rPr>
        <sz val="11"/>
        <color theme="1"/>
        <rFont val="Calibri"/>
        <family val="2"/>
        <scheme val="minor"/>
      </rPr>
      <t>,</t>
    </r>
    <r>
      <rPr>
        <vertAlign val="superscript"/>
        <sz val="10"/>
        <rFont val="Arial"/>
        <family val="2"/>
        <charset val="204"/>
      </rPr>
      <t>0</t>
    </r>
    <r>
      <rPr>
        <sz val="11"/>
        <color theme="1"/>
        <rFont val="Calibri"/>
        <family val="2"/>
        <scheme val="minor"/>
      </rPr>
      <t>С</t>
    </r>
  </si>
  <si>
    <r>
      <t>Плотность газа, кг/м</t>
    </r>
    <r>
      <rPr>
        <vertAlign val="superscript"/>
        <sz val="10"/>
        <rFont val="Arial"/>
        <family val="2"/>
        <charset val="204"/>
      </rPr>
      <t>3</t>
    </r>
  </si>
  <si>
    <t>Коэффициент сжимаемости Z</t>
  </si>
  <si>
    <r>
      <t>Рабочий объем газа V</t>
    </r>
    <r>
      <rPr>
        <vertAlign val="subscript"/>
        <sz val="10"/>
        <rFont val="Arial"/>
        <family val="2"/>
        <charset val="204"/>
      </rPr>
      <t>р</t>
    </r>
    <r>
      <rPr>
        <sz val="11"/>
        <color theme="1"/>
        <rFont val="Calibri"/>
        <family val="2"/>
        <scheme val="minor"/>
      </rPr>
      <t>, м</t>
    </r>
    <r>
      <rPr>
        <vertAlign val="superscript"/>
        <sz val="10"/>
        <rFont val="Arial"/>
        <family val="2"/>
        <charset val="204"/>
      </rPr>
      <t>3</t>
    </r>
    <r>
      <rPr>
        <sz val="11"/>
        <color theme="1"/>
        <rFont val="Calibri"/>
        <family val="2"/>
        <scheme val="minor"/>
      </rPr>
      <t>/ч</t>
    </r>
  </si>
  <si>
    <r>
      <t>Рабочий объем газа V</t>
    </r>
    <r>
      <rPr>
        <vertAlign val="subscript"/>
        <sz val="10"/>
        <rFont val="Arial"/>
        <family val="2"/>
        <charset val="204"/>
      </rPr>
      <t>р</t>
    </r>
    <r>
      <rPr>
        <sz val="11"/>
        <color theme="1"/>
        <rFont val="Calibri"/>
        <family val="2"/>
        <scheme val="minor"/>
      </rPr>
      <t>, м</t>
    </r>
    <r>
      <rPr>
        <vertAlign val="superscript"/>
        <sz val="10"/>
        <rFont val="Arial"/>
        <family val="2"/>
        <charset val="204"/>
      </rPr>
      <t>3</t>
    </r>
    <r>
      <rPr>
        <sz val="11"/>
        <color theme="1"/>
        <rFont val="Calibri"/>
        <family val="2"/>
        <scheme val="minor"/>
      </rPr>
      <t>/с</t>
    </r>
  </si>
  <si>
    <r>
      <t>Скорость движения W</t>
    </r>
    <r>
      <rPr>
        <vertAlign val="subscript"/>
        <sz val="10"/>
        <rFont val="Arial"/>
        <family val="2"/>
        <charset val="204"/>
      </rPr>
      <t>г</t>
    </r>
    <r>
      <rPr>
        <sz val="11"/>
        <color theme="1"/>
        <rFont val="Calibri"/>
        <family val="2"/>
        <scheme val="minor"/>
      </rPr>
      <t>трубе, м/с</t>
    </r>
  </si>
  <si>
    <t>Максимально допустимая скорость, м/с</t>
  </si>
  <si>
    <t>Расход</t>
  </si>
  <si>
    <t>М</t>
  </si>
  <si>
    <t>Рпк</t>
  </si>
  <si>
    <t>Тпк</t>
  </si>
  <si>
    <t>ri/Zci</t>
  </si>
  <si>
    <t>Xi/Zci</t>
  </si>
  <si>
    <t>хi×Мi</t>
  </si>
  <si>
    <t>хi×Ркрi</t>
  </si>
  <si>
    <t>хi×Tкрi</t>
  </si>
  <si>
    <r>
      <t>Темп. кипения</t>
    </r>
    <r>
      <rPr>
        <i/>
        <sz val="12"/>
        <rFont val="Times New Roman"/>
        <family val="1"/>
        <charset val="204"/>
      </rPr>
      <t>Tоi</t>
    </r>
    <r>
      <rPr>
        <sz val="12"/>
        <rFont val="Times New Roman"/>
        <family val="1"/>
        <charset val="204"/>
      </rPr>
      <t>, К</t>
    </r>
  </si>
  <si>
    <r>
      <t>Крит. давл.</t>
    </r>
    <r>
      <rPr>
        <i/>
        <sz val="12"/>
        <rFont val="Times New Roman"/>
        <family val="1"/>
        <charset val="204"/>
      </rPr>
      <t>Pкрi</t>
    </r>
    <r>
      <rPr>
        <sz val="12"/>
        <rFont val="Times New Roman"/>
        <family val="1"/>
        <charset val="204"/>
      </rPr>
      <t>, МПа</t>
    </r>
  </si>
  <si>
    <r>
      <t>Крит. темп.</t>
    </r>
    <r>
      <rPr>
        <i/>
        <sz val="12"/>
        <rFont val="Times New Roman"/>
        <family val="1"/>
        <charset val="204"/>
      </rPr>
      <t>Tкрi</t>
    </r>
    <r>
      <rPr>
        <sz val="12"/>
        <rFont val="Times New Roman"/>
        <family val="1"/>
        <charset val="204"/>
      </rPr>
      <t>, К</t>
    </r>
  </si>
  <si>
    <r>
      <t>Плотность</t>
    </r>
    <r>
      <rPr>
        <i/>
        <sz val="12"/>
        <rFont val="Times New Roman"/>
        <family val="1"/>
        <charset val="204"/>
      </rPr>
      <t>ρi</t>
    </r>
    <r>
      <rPr>
        <sz val="12"/>
        <rFont val="Times New Roman"/>
        <family val="1"/>
        <charset val="204"/>
      </rPr>
      <t>, кг/куб.м</t>
    </r>
  </si>
  <si>
    <r>
      <t>Моляр. масса</t>
    </r>
    <r>
      <rPr>
        <i/>
        <sz val="16"/>
        <rFont val="Times New Roman"/>
        <family val="1"/>
        <charset val="204"/>
      </rPr>
      <t>Мi</t>
    </r>
    <r>
      <rPr>
        <sz val="16"/>
        <rFont val="Times New Roman"/>
        <family val="1"/>
        <charset val="204"/>
      </rPr>
      <t>, кг/моль</t>
    </r>
  </si>
  <si>
    <t>Фактор сжимаемости Zci</t>
  </si>
  <si>
    <r>
      <t>Объемная доля r</t>
    </r>
    <r>
      <rPr>
        <i/>
        <vertAlign val="subscript"/>
        <sz val="16"/>
        <rFont val="Times New Roman"/>
        <family val="1"/>
        <charset val="204"/>
      </rPr>
      <t>i</t>
    </r>
  </si>
  <si>
    <r>
      <t>Молярная доля</t>
    </r>
    <r>
      <rPr>
        <i/>
        <sz val="16"/>
        <rFont val="Times New Roman"/>
        <family val="1"/>
        <charset val="204"/>
      </rPr>
      <t>хi</t>
    </r>
  </si>
  <si>
    <t>Исходные данные (табл.1 ГОСТ 30319.1-96)</t>
  </si>
  <si>
    <t>-</t>
  </si>
  <si>
    <t>Z</t>
  </si>
  <si>
    <t>Коэффициент сжимаемости</t>
  </si>
  <si>
    <r>
      <t>А</t>
    </r>
    <r>
      <rPr>
        <vertAlign val="subscript"/>
        <sz val="10"/>
        <rFont val="Arial"/>
        <family val="2"/>
        <charset val="204"/>
      </rPr>
      <t>2</t>
    </r>
  </si>
  <si>
    <t>Параметр</t>
  </si>
  <si>
    <r>
      <t>А</t>
    </r>
    <r>
      <rPr>
        <vertAlign val="subscript"/>
        <sz val="10"/>
        <rFont val="Arial"/>
        <family val="2"/>
        <charset val="204"/>
      </rPr>
      <t>1</t>
    </r>
  </si>
  <si>
    <t>К/МПа</t>
  </si>
  <si>
    <r>
      <t>D</t>
    </r>
    <r>
      <rPr>
        <vertAlign val="subscript"/>
        <sz val="14"/>
        <rFont val="Times New Roman"/>
        <family val="1"/>
        <charset val="204"/>
      </rPr>
      <t>i</t>
    </r>
  </si>
  <si>
    <t>Среднее значение коэффициента Джоуля-Томсона</t>
  </si>
  <si>
    <r>
      <t>Н</t>
    </r>
    <r>
      <rPr>
        <vertAlign val="subscript"/>
        <sz val="10"/>
        <rFont val="Arial"/>
        <family val="2"/>
        <charset val="204"/>
      </rPr>
      <t>3</t>
    </r>
  </si>
  <si>
    <r>
      <t>Н</t>
    </r>
    <r>
      <rPr>
        <vertAlign val="subscript"/>
        <sz val="10"/>
        <rFont val="Arial"/>
        <family val="2"/>
        <charset val="204"/>
      </rPr>
      <t>2</t>
    </r>
  </si>
  <si>
    <r>
      <t>Н</t>
    </r>
    <r>
      <rPr>
        <vertAlign val="subscript"/>
        <sz val="10"/>
        <rFont val="Arial"/>
        <family val="2"/>
        <charset val="204"/>
      </rPr>
      <t>1</t>
    </r>
  </si>
  <si>
    <r>
      <t>Н</t>
    </r>
    <r>
      <rPr>
        <vertAlign val="subscript"/>
        <sz val="10"/>
        <rFont val="Arial"/>
        <family val="2"/>
        <charset val="204"/>
      </rPr>
      <t>0</t>
    </r>
  </si>
  <si>
    <r>
      <t>μ/ρ</t>
    </r>
    <r>
      <rPr>
        <vertAlign val="subscript"/>
        <sz val="16"/>
        <rFont val="Arial"/>
        <family val="2"/>
        <charset val="204"/>
      </rPr>
      <t>раб</t>
    </r>
  </si>
  <si>
    <r>
      <t>м</t>
    </r>
    <r>
      <rPr>
        <vertAlign val="superscript"/>
        <sz val="14"/>
        <rFont val="Arial"/>
        <family val="2"/>
        <charset val="204"/>
      </rPr>
      <t>2</t>
    </r>
    <r>
      <rPr>
        <sz val="14"/>
        <rFont val="Arial"/>
        <family val="2"/>
        <charset val="204"/>
      </rPr>
      <t>/с</t>
    </r>
  </si>
  <si>
    <t>ν</t>
  </si>
  <si>
    <t>Кинематическая вязкость</t>
  </si>
  <si>
    <t>Па∙с</t>
  </si>
  <si>
    <t>μ</t>
  </si>
  <si>
    <t>Динамическая вязкость</t>
  </si>
  <si>
    <r>
      <t>B</t>
    </r>
    <r>
      <rPr>
        <vertAlign val="subscript"/>
        <sz val="10"/>
        <rFont val="Arial"/>
        <family val="2"/>
        <charset val="204"/>
      </rPr>
      <t>3</t>
    </r>
  </si>
  <si>
    <r>
      <t>B</t>
    </r>
    <r>
      <rPr>
        <vertAlign val="subscript"/>
        <sz val="10"/>
        <rFont val="Arial"/>
        <family val="2"/>
        <charset val="204"/>
      </rPr>
      <t>2</t>
    </r>
  </si>
  <si>
    <r>
      <t>B</t>
    </r>
    <r>
      <rPr>
        <vertAlign val="subscript"/>
        <sz val="10"/>
        <rFont val="Arial"/>
        <family val="2"/>
        <charset val="204"/>
      </rPr>
      <t>1</t>
    </r>
  </si>
  <si>
    <r>
      <t>μ</t>
    </r>
    <r>
      <rPr>
        <vertAlign val="subscript"/>
        <sz val="10"/>
        <rFont val="Arial"/>
        <family val="2"/>
        <charset val="204"/>
      </rPr>
      <t>0</t>
    </r>
  </si>
  <si>
    <r>
      <t>ккал/(нм</t>
    </r>
    <r>
      <rPr>
        <vertAlign val="superscript"/>
        <sz val="14"/>
        <rFont val="Arial"/>
        <family val="2"/>
        <charset val="204"/>
      </rPr>
      <t>3</t>
    </r>
    <r>
      <rPr>
        <sz val="14"/>
        <rFont val="Arial"/>
        <family val="2"/>
        <charset val="204"/>
      </rPr>
      <t>К)</t>
    </r>
  </si>
  <si>
    <r>
      <t>С</t>
    </r>
    <r>
      <rPr>
        <vertAlign val="subscript"/>
        <sz val="14"/>
        <rFont val="Times New Roman"/>
        <family val="1"/>
        <charset val="204"/>
      </rPr>
      <t>р</t>
    </r>
  </si>
  <si>
    <t>Средняя изобарная теплоемкость</t>
  </si>
  <si>
    <t>кДж/(кг К)</t>
  </si>
  <si>
    <r>
      <t>Е</t>
    </r>
    <r>
      <rPr>
        <vertAlign val="subscript"/>
        <sz val="14"/>
        <rFont val="Times New Roman"/>
        <family val="1"/>
        <charset val="204"/>
      </rPr>
      <t>3</t>
    </r>
  </si>
  <si>
    <r>
      <t>Е</t>
    </r>
    <r>
      <rPr>
        <vertAlign val="subscript"/>
        <sz val="14"/>
        <rFont val="Times New Roman"/>
        <family val="1"/>
        <charset val="204"/>
      </rPr>
      <t>2</t>
    </r>
  </si>
  <si>
    <r>
      <t>Е</t>
    </r>
    <r>
      <rPr>
        <vertAlign val="subscript"/>
        <sz val="14"/>
        <rFont val="Times New Roman"/>
        <family val="1"/>
        <charset val="204"/>
      </rPr>
      <t>1</t>
    </r>
  </si>
  <si>
    <r>
      <t>Е</t>
    </r>
    <r>
      <rPr>
        <vertAlign val="subscript"/>
        <sz val="14"/>
        <rFont val="Times New Roman"/>
        <family val="1"/>
        <charset val="204"/>
      </rPr>
      <t>0</t>
    </r>
  </si>
  <si>
    <r>
      <t>Т</t>
    </r>
    <r>
      <rPr>
        <vertAlign val="subscript"/>
        <sz val="14"/>
        <rFont val="Times New Roman"/>
        <family val="1"/>
        <charset val="204"/>
      </rPr>
      <t>пр</t>
    </r>
  </si>
  <si>
    <r>
      <t>Р</t>
    </r>
    <r>
      <rPr>
        <vertAlign val="subscript"/>
        <sz val="14"/>
        <rFont val="Times New Roman"/>
        <family val="1"/>
        <charset val="204"/>
      </rPr>
      <t>пр</t>
    </r>
  </si>
  <si>
    <r>
      <t>Т</t>
    </r>
    <r>
      <rPr>
        <vertAlign val="subscript"/>
        <sz val="14"/>
        <rFont val="Times New Roman"/>
        <family val="1"/>
        <charset val="204"/>
      </rPr>
      <t>пк</t>
    </r>
  </si>
  <si>
    <t>Псевдокритическая температура</t>
  </si>
  <si>
    <r>
      <t>Р</t>
    </r>
    <r>
      <rPr>
        <vertAlign val="subscript"/>
        <sz val="14"/>
        <rFont val="Times New Roman"/>
        <family val="1"/>
        <charset val="204"/>
      </rPr>
      <t>пк</t>
    </r>
  </si>
  <si>
    <t>Псевдокритическое давление</t>
  </si>
  <si>
    <t>R</t>
  </si>
  <si>
    <t>кг/кмоль</t>
  </si>
  <si>
    <t>Молярная масса природного газа</t>
  </si>
  <si>
    <r>
      <t>ρ</t>
    </r>
    <r>
      <rPr>
        <vertAlign val="subscript"/>
        <sz val="14"/>
        <rFont val="Times New Roman"/>
        <family val="1"/>
        <charset val="204"/>
      </rPr>
      <t>c</t>
    </r>
    <r>
      <rPr>
        <sz val="14"/>
        <rFont val="Times New Roman"/>
        <family val="1"/>
        <charset val="204"/>
      </rPr>
      <t>∙(p/p</t>
    </r>
    <r>
      <rPr>
        <vertAlign val="subscript"/>
        <sz val="14"/>
        <rFont val="Times New Roman"/>
        <family val="1"/>
        <charset val="204"/>
      </rPr>
      <t>c</t>
    </r>
    <r>
      <rPr>
        <sz val="14"/>
        <rFont val="Times New Roman"/>
        <family val="1"/>
        <charset val="204"/>
      </rPr>
      <t>)∙(T</t>
    </r>
    <r>
      <rPr>
        <vertAlign val="subscript"/>
        <sz val="14"/>
        <rFont val="Times New Roman"/>
        <family val="1"/>
        <charset val="204"/>
      </rPr>
      <t>c</t>
    </r>
    <r>
      <rPr>
        <sz val="14"/>
        <rFont val="Times New Roman"/>
        <family val="1"/>
        <charset val="204"/>
      </rPr>
      <t>/T)∙1/Z</t>
    </r>
  </si>
  <si>
    <r>
      <t>кг/м</t>
    </r>
    <r>
      <rPr>
        <vertAlign val="superscript"/>
        <sz val="14"/>
        <rFont val="Times New Roman"/>
        <family val="1"/>
        <charset val="204"/>
      </rPr>
      <t>3</t>
    </r>
  </si>
  <si>
    <r>
      <t>ρ</t>
    </r>
    <r>
      <rPr>
        <vertAlign val="subscript"/>
        <sz val="10"/>
        <rFont val="Arial"/>
        <family val="2"/>
        <charset val="204"/>
      </rPr>
      <t>раб</t>
    </r>
  </si>
  <si>
    <t>Плотность смеси газа при рабочих условиях</t>
  </si>
  <si>
    <r>
      <t>ρ</t>
    </r>
    <r>
      <rPr>
        <vertAlign val="subscript"/>
        <sz val="10"/>
        <rFont val="Arial"/>
        <family val="2"/>
        <charset val="204"/>
      </rPr>
      <t>c</t>
    </r>
  </si>
  <si>
    <t>Плотность газа при стандартных условиях</t>
  </si>
  <si>
    <t>Задано</t>
  </si>
  <si>
    <r>
      <t>ρ</t>
    </r>
    <r>
      <rPr>
        <vertAlign val="subscript"/>
        <sz val="10"/>
        <rFont val="Arial"/>
        <family val="2"/>
        <charset val="204"/>
      </rPr>
      <t>сi</t>
    </r>
  </si>
  <si>
    <t>Плотность компонентов природного газа</t>
  </si>
  <si>
    <r>
      <t>r</t>
    </r>
    <r>
      <rPr>
        <vertAlign val="subscript"/>
        <sz val="10"/>
        <rFont val="Arial"/>
        <family val="2"/>
        <charset val="204"/>
      </rPr>
      <t>i</t>
    </r>
  </si>
  <si>
    <t>Объемная доля компонентов природного газа</t>
  </si>
  <si>
    <r>
      <t>0</t>
    </r>
    <r>
      <rPr>
        <sz val="14"/>
        <rFont val="Arial"/>
        <family val="2"/>
        <charset val="204"/>
      </rPr>
      <t>C</t>
    </r>
  </si>
  <si>
    <r>
      <t>t</t>
    </r>
    <r>
      <rPr>
        <vertAlign val="subscript"/>
        <sz val="14"/>
        <rFont val="Times New Roman"/>
        <family val="1"/>
        <charset val="204"/>
      </rPr>
      <t>вх</t>
    </r>
  </si>
  <si>
    <t>МПа</t>
  </si>
  <si>
    <r>
      <t>Р</t>
    </r>
    <r>
      <rPr>
        <vertAlign val="subscript"/>
        <sz val="10"/>
        <rFont val="Arial"/>
        <family val="2"/>
        <charset val="204"/>
      </rPr>
      <t>вх</t>
    </r>
  </si>
  <si>
    <t>Давление газа на входе в ГРС</t>
  </si>
  <si>
    <t>Результат</t>
  </si>
  <si>
    <t>Ед.изм</t>
  </si>
  <si>
    <t>Усл.обозн</t>
  </si>
  <si>
    <t>Название</t>
  </si>
  <si>
    <t>Расчет теплофизических свойств природного газа</t>
  </si>
  <si>
    <t>-поправочный коэффициент на сжимаемость газа.</t>
  </si>
  <si>
    <t>E=</t>
  </si>
  <si>
    <t>-удельный вес газа при нормальных условиях (при 0);</t>
  </si>
  <si>
    <r>
      <t>кг/м</t>
    </r>
    <r>
      <rPr>
        <vertAlign val="superscript"/>
        <sz val="10"/>
        <rFont val="Arial Cyr"/>
        <family val="2"/>
        <charset val="204"/>
      </rPr>
      <t>3</t>
    </r>
  </si>
  <si>
    <r>
      <t>g</t>
    </r>
    <r>
      <rPr>
        <vertAlign val="subscript"/>
        <sz val="10"/>
        <rFont val="Arial Cyr"/>
        <family val="2"/>
        <charset val="204"/>
      </rPr>
      <t>n</t>
    </r>
    <r>
      <rPr>
        <sz val="11"/>
        <color theme="1"/>
        <rFont val="Calibri"/>
        <family val="2"/>
        <scheme val="minor"/>
      </rPr>
      <t>=</t>
    </r>
  </si>
  <si>
    <t>-рабочая температура перед регулятором;</t>
  </si>
  <si>
    <r>
      <t>°</t>
    </r>
    <r>
      <rPr>
        <sz val="11"/>
        <color theme="1"/>
        <rFont val="Calibri"/>
        <family val="2"/>
        <scheme val="minor"/>
      </rPr>
      <t>K</t>
    </r>
  </si>
  <si>
    <r>
      <t>T</t>
    </r>
    <r>
      <rPr>
        <vertAlign val="subscript"/>
        <sz val="10"/>
        <rFont val="Arial Cyr"/>
        <family val="2"/>
        <charset val="204"/>
      </rPr>
      <t>1</t>
    </r>
    <r>
      <rPr>
        <sz val="11"/>
        <color theme="1"/>
        <rFont val="Calibri"/>
        <family val="2"/>
        <scheme val="minor"/>
      </rPr>
      <t>=</t>
    </r>
  </si>
  <si>
    <t>-минимальный расход газа,приведенный к нормальным условиям;</t>
  </si>
  <si>
    <r>
      <t>м</t>
    </r>
    <r>
      <rPr>
        <vertAlign val="superscript"/>
        <sz val="10"/>
        <rFont val="Arial Cyr"/>
        <family val="2"/>
        <charset val="204"/>
      </rPr>
      <t>3</t>
    </r>
    <r>
      <rPr>
        <sz val="11"/>
        <color theme="1"/>
        <rFont val="Calibri"/>
        <family val="2"/>
        <scheme val="minor"/>
      </rPr>
      <t>/час</t>
    </r>
  </si>
  <si>
    <r>
      <t>Q</t>
    </r>
    <r>
      <rPr>
        <vertAlign val="subscript"/>
        <sz val="10"/>
        <rFont val="Arial Cyr"/>
        <family val="2"/>
        <charset val="204"/>
      </rPr>
      <t>min</t>
    </r>
    <r>
      <rPr>
        <sz val="11"/>
        <color theme="1"/>
        <rFont val="Calibri"/>
        <family val="2"/>
        <scheme val="minor"/>
      </rPr>
      <t>=</t>
    </r>
  </si>
  <si>
    <t>-максимальный расход газа,приведенный к нормальным условиям;</t>
  </si>
  <si>
    <r>
      <t>Q</t>
    </r>
    <r>
      <rPr>
        <vertAlign val="subscript"/>
        <sz val="10"/>
        <rFont val="Arial Cyr"/>
        <family val="2"/>
        <charset val="204"/>
      </rPr>
      <t>max</t>
    </r>
    <r>
      <rPr>
        <sz val="11"/>
        <color theme="1"/>
        <rFont val="Calibri"/>
        <family val="2"/>
        <scheme val="minor"/>
      </rPr>
      <t>=</t>
    </r>
  </si>
  <si>
    <t>газпроммаш</t>
  </si>
  <si>
    <t>149-BV</t>
  </si>
  <si>
    <t>- абс. давление газа на выходе из регулятора;</t>
  </si>
  <si>
    <r>
      <t>кгс/см</t>
    </r>
    <r>
      <rPr>
        <vertAlign val="superscript"/>
        <sz val="10"/>
        <rFont val="Arial Cyr"/>
        <family val="2"/>
        <charset val="204"/>
      </rPr>
      <t>2</t>
    </r>
  </si>
  <si>
    <r>
      <t>P</t>
    </r>
    <r>
      <rPr>
        <vertAlign val="subscript"/>
        <sz val="10"/>
        <rFont val="Arial Cyr"/>
        <family val="2"/>
        <charset val="204"/>
      </rPr>
      <t>2</t>
    </r>
    <r>
      <rPr>
        <sz val="11"/>
        <color theme="1"/>
        <rFont val="Calibri"/>
        <family val="2"/>
        <scheme val="minor"/>
      </rPr>
      <t>=</t>
    </r>
  </si>
  <si>
    <t>- абс. давление газа на входе в регулятор;</t>
  </si>
  <si>
    <r>
      <t>P</t>
    </r>
    <r>
      <rPr>
        <vertAlign val="subscript"/>
        <sz val="10"/>
        <rFont val="Arial Cyr"/>
        <family val="2"/>
        <charset val="204"/>
      </rPr>
      <t>1</t>
    </r>
    <r>
      <rPr>
        <sz val="11"/>
        <color theme="1"/>
        <rFont val="Calibri"/>
        <family val="2"/>
        <scheme val="minor"/>
      </rPr>
      <t>=</t>
    </r>
  </si>
  <si>
    <t>-перепад давления на  регулирующем органе регулятора;</t>
  </si>
  <si>
    <r>
      <t>D</t>
    </r>
    <r>
      <rPr>
        <sz val="11"/>
        <color theme="1"/>
        <rFont val="Calibri"/>
        <family val="2"/>
        <scheme val="minor"/>
      </rPr>
      <t>P=P</t>
    </r>
    <r>
      <rPr>
        <vertAlign val="subscript"/>
        <sz val="10"/>
        <rFont val="Arial Cyr"/>
        <family val="2"/>
        <charset val="204"/>
      </rPr>
      <t>1</t>
    </r>
    <r>
      <rPr>
        <sz val="11"/>
        <color theme="1"/>
        <rFont val="Calibri"/>
        <family val="2"/>
        <scheme val="minor"/>
      </rPr>
      <t>-P</t>
    </r>
    <r>
      <rPr>
        <vertAlign val="subscript"/>
        <sz val="10"/>
        <rFont val="Arial Cyr"/>
        <family val="2"/>
        <charset val="204"/>
      </rPr>
      <t>2</t>
    </r>
    <r>
      <rPr>
        <sz val="11"/>
        <color theme="1"/>
        <rFont val="Calibri"/>
        <family val="2"/>
        <scheme val="minor"/>
      </rPr>
      <t>=</t>
    </r>
  </si>
  <si>
    <t>где:</t>
  </si>
  <si>
    <t>1,2(6)</t>
  </si>
  <si>
    <t>150/300</t>
  </si>
  <si>
    <t>ЛОРД-150</t>
  </si>
  <si>
    <t>1.2(6)</t>
  </si>
  <si>
    <t>100/250</t>
  </si>
  <si>
    <t>ЛОРД-100</t>
  </si>
  <si>
    <t>50/100</t>
  </si>
  <si>
    <t>ЛОРД-50</t>
  </si>
  <si>
    <t>РДУ-80-150</t>
  </si>
  <si>
    <t>РДУ-80-100</t>
  </si>
  <si>
    <t>т/ч</t>
  </si>
  <si>
    <t>РДУ-80-80</t>
  </si>
  <si>
    <t>РДУ-80-50</t>
  </si>
  <si>
    <t>РДУ-80-25</t>
  </si>
  <si>
    <r>
      <t>Для критического и сверхкритического режимов истечения, когда Р</t>
    </r>
    <r>
      <rPr>
        <vertAlign val="subscript"/>
        <sz val="10"/>
        <rFont val="Arial Cyr"/>
        <family val="2"/>
        <charset val="204"/>
      </rPr>
      <t>2</t>
    </r>
    <r>
      <rPr>
        <sz val="10"/>
        <rFont val="Symbol"/>
        <family val="1"/>
        <charset val="2"/>
      </rPr>
      <t>Ј</t>
    </r>
    <r>
      <rPr>
        <sz val="11"/>
        <color theme="1"/>
        <rFont val="Calibri"/>
        <family val="2"/>
        <scheme val="minor"/>
      </rPr>
      <t>0,5P</t>
    </r>
    <r>
      <rPr>
        <vertAlign val="subscript"/>
        <sz val="10"/>
        <rFont val="Arial Cyr"/>
        <family val="2"/>
        <charset val="204"/>
      </rPr>
      <t>1</t>
    </r>
  </si>
  <si>
    <t>РДУ-80-15</t>
  </si>
  <si>
    <t>РД</t>
  </si>
  <si>
    <r>
      <t>Для докритического режима истечения, когда Р</t>
    </r>
    <r>
      <rPr>
        <vertAlign val="subscript"/>
        <sz val="10"/>
        <rFont val="Arial Cyr"/>
        <family val="2"/>
        <charset val="204"/>
      </rPr>
      <t>2</t>
    </r>
    <r>
      <rPr>
        <sz val="11"/>
        <color theme="1"/>
        <rFont val="Calibri"/>
        <family val="2"/>
        <scheme val="minor"/>
      </rPr>
      <t>&gt;0,5P</t>
    </r>
    <r>
      <rPr>
        <vertAlign val="subscript"/>
        <sz val="10"/>
        <rFont val="Arial Cyr"/>
        <family val="2"/>
        <charset val="204"/>
      </rPr>
      <t>1</t>
    </r>
  </si>
  <si>
    <t>D=</t>
  </si>
  <si>
    <t>Относительная плотность газа</t>
  </si>
  <si>
    <t>o</t>
  </si>
  <si>
    <t>t=</t>
  </si>
  <si>
    <t>Давление газа на выходе из регулятора</t>
  </si>
  <si>
    <t>Для любого режима обратный расчет</t>
  </si>
  <si>
    <t>РДЭ</t>
  </si>
  <si>
    <t>Давление газа на входе в регулятор</t>
  </si>
  <si>
    <t>ГПМ-КП</t>
  </si>
  <si>
    <t>приведенный к нормальным условиям</t>
  </si>
  <si>
    <t>Минимальный расход газа</t>
  </si>
  <si>
    <t>Kv=</t>
  </si>
  <si>
    <t>Рн,МПа</t>
  </si>
  <si>
    <t>Рв,МПа</t>
  </si>
  <si>
    <t>Кv, т/ч</t>
  </si>
  <si>
    <t>Ру, МПа</t>
  </si>
  <si>
    <t>Ду, мм</t>
  </si>
  <si>
    <t>Тип рег.</t>
  </si>
  <si>
    <t>Максимальный расход газа</t>
  </si>
  <si>
    <t>расчетные данные</t>
  </si>
  <si>
    <t>исходные данные для расчета</t>
  </si>
  <si>
    <r>
      <t>м</t>
    </r>
    <r>
      <rPr>
        <vertAlign val="superscript"/>
        <sz val="14"/>
        <color rgb="FF000000"/>
        <rFont val="Arial"/>
        <family val="2"/>
        <charset val="204"/>
      </rPr>
      <t>3</t>
    </r>
    <r>
      <rPr>
        <sz val="14"/>
        <color rgb="FF000000"/>
        <rFont val="Arial"/>
        <family val="2"/>
        <charset val="204"/>
      </rPr>
      <t>/ч</t>
    </r>
  </si>
  <si>
    <r>
      <t>G</t>
    </r>
    <r>
      <rPr>
        <vertAlign val="subscript"/>
        <sz val="10"/>
        <rFont val="Arial"/>
        <family val="2"/>
        <charset val="204"/>
      </rPr>
      <t>точ2</t>
    </r>
  </si>
  <si>
    <t>Расход теплоносителя</t>
  </si>
  <si>
    <t>кВт</t>
  </si>
  <si>
    <t>Q расход</t>
  </si>
  <si>
    <t>Q квт</t>
  </si>
  <si>
    <t>Гкал/ч</t>
  </si>
  <si>
    <r>
      <t>Q</t>
    </r>
    <r>
      <rPr>
        <vertAlign val="subscript"/>
        <sz val="14"/>
        <rFont val="Arial"/>
        <family val="2"/>
        <charset val="204"/>
      </rPr>
      <t>п</t>
    </r>
  </si>
  <si>
    <t>Полезная тепловая мощность на технологические нужды</t>
  </si>
  <si>
    <r>
      <t>δ</t>
    </r>
    <r>
      <rPr>
        <i/>
        <vertAlign val="subscript"/>
        <sz val="14"/>
        <rFont val="Arial"/>
        <family val="2"/>
        <charset val="204"/>
      </rPr>
      <t>эг</t>
    </r>
  </si>
  <si>
    <t>Массовая доля этиленгликоля</t>
  </si>
  <si>
    <r>
      <t>δ</t>
    </r>
    <r>
      <rPr>
        <i/>
        <vertAlign val="subscript"/>
        <sz val="14"/>
        <rFont val="Arial"/>
        <family val="2"/>
        <charset val="204"/>
      </rPr>
      <t>воды</t>
    </r>
  </si>
  <si>
    <t>Массовая доля воды</t>
  </si>
  <si>
    <r>
      <t>0</t>
    </r>
    <r>
      <rPr>
        <i/>
        <sz val="14"/>
        <rFont val="Arial"/>
        <family val="2"/>
        <charset val="204"/>
      </rPr>
      <t>С</t>
    </r>
  </si>
  <si>
    <r>
      <t>t</t>
    </r>
    <r>
      <rPr>
        <i/>
        <vertAlign val="subscript"/>
        <sz val="14"/>
        <rFont val="Arial"/>
        <family val="2"/>
        <charset val="204"/>
      </rPr>
      <t>вых,грс</t>
    </r>
  </si>
  <si>
    <r>
      <t>(t</t>
    </r>
    <r>
      <rPr>
        <i/>
        <vertAlign val="subscript"/>
        <sz val="14"/>
        <rFont val="Arial"/>
        <family val="2"/>
        <charset val="204"/>
      </rPr>
      <t>вых</t>
    </r>
    <r>
      <rPr>
        <i/>
        <sz val="14"/>
        <rFont val="Arial"/>
        <family val="2"/>
        <charset val="204"/>
      </rPr>
      <t>+(P</t>
    </r>
    <r>
      <rPr>
        <i/>
        <vertAlign val="subscript"/>
        <sz val="14"/>
        <rFont val="Arial"/>
        <family val="2"/>
        <charset val="204"/>
      </rPr>
      <t>вх</t>
    </r>
    <r>
      <rPr>
        <i/>
        <sz val="14"/>
        <rFont val="Arial"/>
        <family val="2"/>
        <charset val="204"/>
      </rPr>
      <t>-P</t>
    </r>
    <r>
      <rPr>
        <i/>
        <vertAlign val="subscript"/>
        <sz val="14"/>
        <rFont val="Arial"/>
        <family val="2"/>
        <charset val="204"/>
      </rPr>
      <t>вых</t>
    </r>
    <r>
      <rPr>
        <i/>
        <sz val="14"/>
        <rFont val="Arial"/>
        <family val="2"/>
        <charset val="204"/>
      </rPr>
      <t>)*D)</t>
    </r>
  </si>
  <si>
    <r>
      <t>t</t>
    </r>
    <r>
      <rPr>
        <i/>
        <vertAlign val="subscript"/>
        <sz val="14"/>
        <rFont val="Arial"/>
        <family val="2"/>
        <charset val="204"/>
      </rPr>
      <t>вых</t>
    </r>
  </si>
  <si>
    <t>Температура газа после теплообменника</t>
  </si>
  <si>
    <r>
      <t>t</t>
    </r>
    <r>
      <rPr>
        <i/>
        <vertAlign val="subscript"/>
        <sz val="14"/>
        <rFont val="Arial"/>
        <family val="2"/>
        <charset val="204"/>
      </rPr>
      <t>вх</t>
    </r>
  </si>
  <si>
    <r>
      <t>нм</t>
    </r>
    <r>
      <rPr>
        <i/>
        <vertAlign val="superscript"/>
        <sz val="14"/>
        <rFont val="Arial"/>
        <family val="2"/>
        <charset val="204"/>
      </rPr>
      <t>3</t>
    </r>
    <r>
      <rPr>
        <i/>
        <sz val="14"/>
        <rFont val="Arial"/>
        <family val="2"/>
        <charset val="204"/>
      </rPr>
      <t>/ч</t>
    </r>
  </si>
  <si>
    <r>
      <t>G</t>
    </r>
    <r>
      <rPr>
        <i/>
        <vertAlign val="subscript"/>
        <sz val="14"/>
        <rFont val="Arial"/>
        <family val="2"/>
        <charset val="204"/>
      </rPr>
      <t>г</t>
    </r>
  </si>
  <si>
    <t>Объем подогреваемого газа</t>
  </si>
  <si>
    <r>
      <t>Р</t>
    </r>
    <r>
      <rPr>
        <i/>
        <vertAlign val="subscript"/>
        <sz val="14"/>
        <rFont val="Arial"/>
        <family val="2"/>
        <charset val="204"/>
      </rPr>
      <t>вых</t>
    </r>
  </si>
  <si>
    <t>Давление газа на выходе из ГРС</t>
  </si>
  <si>
    <r>
      <t>Р</t>
    </r>
    <r>
      <rPr>
        <i/>
        <vertAlign val="subscript"/>
        <sz val="14"/>
        <rFont val="Arial"/>
        <family val="2"/>
        <charset val="204"/>
      </rPr>
      <t>вх</t>
    </r>
  </si>
  <si>
    <t>Тепловой расчет основных технологических параметров ГРС  (БПГ)</t>
  </si>
  <si>
    <t>N п/п</t>
  </si>
  <si>
    <t>м/с</t>
  </si>
  <si>
    <r>
      <t>W</t>
    </r>
    <r>
      <rPr>
        <vertAlign val="subscript"/>
        <sz val="14"/>
        <rFont val="Arial"/>
        <family val="2"/>
        <charset val="204"/>
      </rPr>
      <t>г</t>
    </r>
  </si>
  <si>
    <t>Скорость движения газа - на каждый котел</t>
  </si>
  <si>
    <r>
      <t>м</t>
    </r>
    <r>
      <rPr>
        <vertAlign val="superscript"/>
        <sz val="14"/>
        <rFont val="Arial"/>
        <family val="2"/>
        <charset val="204"/>
      </rPr>
      <t>2</t>
    </r>
  </si>
  <si>
    <t>Проходное сечение трубы (газ) - на каждый котел</t>
  </si>
  <si>
    <t>м</t>
  </si>
  <si>
    <t>δ</t>
  </si>
  <si>
    <t>Толщина трубы (газ) - на каждый котел</t>
  </si>
  <si>
    <t>d</t>
  </si>
  <si>
    <t>Диаметр трубы в котельной (газ) - на каждый котел</t>
  </si>
  <si>
    <t>Скорость движения газа - на общий расход</t>
  </si>
  <si>
    <t>Проходное сечение трубы (газ) - на общий расход</t>
  </si>
  <si>
    <t>Толщина трубы (газ)</t>
  </si>
  <si>
    <t>Диаметр трубы в котельной (газ) - на общий расход</t>
  </si>
  <si>
    <r>
      <t>м</t>
    </r>
    <r>
      <rPr>
        <vertAlign val="superscript"/>
        <sz val="14"/>
        <rFont val="Arial"/>
        <family val="2"/>
        <charset val="204"/>
      </rPr>
      <t>3</t>
    </r>
    <r>
      <rPr>
        <sz val="14"/>
        <rFont val="Arial"/>
        <family val="2"/>
        <charset val="204"/>
      </rPr>
      <t>/ч</t>
    </r>
  </si>
  <si>
    <t>Общий расход газа на котельную</t>
  </si>
  <si>
    <t>шт</t>
  </si>
  <si>
    <t>n</t>
  </si>
  <si>
    <t>Количество котлов</t>
  </si>
  <si>
    <t>η</t>
  </si>
  <si>
    <t>КПД газового котла</t>
  </si>
  <si>
    <r>
      <t>W</t>
    </r>
    <r>
      <rPr>
        <vertAlign val="subscript"/>
        <sz val="14"/>
        <rFont val="Arial"/>
        <family val="2"/>
        <charset val="204"/>
      </rPr>
      <t>т</t>
    </r>
  </si>
  <si>
    <t>Скорость движения теплоносителя</t>
  </si>
  <si>
    <t>Проходное сечение трубы (теплоноситель)</t>
  </si>
  <si>
    <t>Толщина трубы (теплоноситель)</t>
  </si>
  <si>
    <t>Диаметр трубы в котельной (теплоноситель)</t>
  </si>
  <si>
    <r>
      <t>G</t>
    </r>
    <r>
      <rPr>
        <vertAlign val="subscript"/>
        <sz val="10"/>
        <rFont val="Arial"/>
        <family val="2"/>
        <charset val="204"/>
      </rPr>
      <t>точ</t>
    </r>
    <r>
      <rPr>
        <sz val="14"/>
        <rFont val="Arial"/>
        <family val="2"/>
        <charset val="204"/>
      </rPr>
      <t>/3600</t>
    </r>
  </si>
  <si>
    <r>
      <t>м</t>
    </r>
    <r>
      <rPr>
        <vertAlign val="superscript"/>
        <sz val="14"/>
        <color rgb="FF000000"/>
        <rFont val="Arial"/>
        <family val="2"/>
        <charset val="204"/>
      </rPr>
      <t>3</t>
    </r>
    <r>
      <rPr>
        <sz val="14"/>
        <color rgb="FF000000"/>
        <rFont val="Arial"/>
        <family val="2"/>
        <charset val="204"/>
      </rPr>
      <t>/с</t>
    </r>
  </si>
  <si>
    <r>
      <t>G</t>
    </r>
    <r>
      <rPr>
        <vertAlign val="subscript"/>
        <sz val="10"/>
        <rFont val="Arial"/>
        <family val="2"/>
        <charset val="204"/>
      </rPr>
      <t>тос</t>
    </r>
  </si>
  <si>
    <t>Объемный секундный  расход теплоносителя</t>
  </si>
  <si>
    <r>
      <t>G</t>
    </r>
    <r>
      <rPr>
        <vertAlign val="subscript"/>
        <sz val="10"/>
        <rFont val="Arial"/>
        <family val="2"/>
        <charset val="204"/>
      </rPr>
      <t>тмч</t>
    </r>
    <r>
      <rPr>
        <sz val="11"/>
        <color theme="1"/>
        <rFont val="Calibri"/>
        <family val="2"/>
        <scheme val="minor"/>
      </rPr>
      <t>/ρ</t>
    </r>
    <r>
      <rPr>
        <vertAlign val="subscript"/>
        <sz val="10"/>
        <rFont val="Arial"/>
        <family val="2"/>
        <charset val="204"/>
      </rPr>
      <t>т</t>
    </r>
  </si>
  <si>
    <r>
      <t>G</t>
    </r>
    <r>
      <rPr>
        <vertAlign val="subscript"/>
        <sz val="10"/>
        <rFont val="Arial"/>
        <family val="2"/>
        <charset val="204"/>
      </rPr>
      <t>точ</t>
    </r>
  </si>
  <si>
    <t>Объемный часовой расход теплоносителя</t>
  </si>
  <si>
    <r>
      <t>Q</t>
    </r>
    <r>
      <rPr>
        <vertAlign val="subscript"/>
        <sz val="14"/>
        <rFont val="Arial"/>
        <family val="2"/>
        <charset val="204"/>
      </rPr>
      <t>п,общ</t>
    </r>
    <r>
      <rPr>
        <sz val="14"/>
        <rFont val="Arial"/>
        <family val="2"/>
        <charset val="204"/>
      </rPr>
      <t>/((t</t>
    </r>
    <r>
      <rPr>
        <vertAlign val="subscript"/>
        <sz val="14"/>
        <rFont val="Arial"/>
        <family val="2"/>
        <charset val="204"/>
      </rPr>
      <t>т,вых</t>
    </r>
    <r>
      <rPr>
        <sz val="14"/>
        <rFont val="Arial"/>
        <family val="2"/>
        <charset val="204"/>
      </rPr>
      <t>-t</t>
    </r>
    <r>
      <rPr>
        <vertAlign val="subscript"/>
        <sz val="14"/>
        <rFont val="Arial"/>
        <family val="2"/>
        <charset val="204"/>
      </rPr>
      <t>т,вх</t>
    </r>
    <r>
      <rPr>
        <sz val="14"/>
        <rFont val="Arial"/>
        <family val="2"/>
        <charset val="204"/>
      </rPr>
      <t>)С</t>
    </r>
    <r>
      <rPr>
        <vertAlign val="subscript"/>
        <sz val="14"/>
        <rFont val="Arial"/>
        <family val="2"/>
        <charset val="204"/>
      </rPr>
      <t>пт</t>
    </r>
    <r>
      <rPr>
        <sz val="14"/>
        <rFont val="Arial"/>
        <family val="2"/>
        <charset val="204"/>
      </rPr>
      <t>)</t>
    </r>
  </si>
  <si>
    <t>кг/ч</t>
  </si>
  <si>
    <r>
      <t>G</t>
    </r>
    <r>
      <rPr>
        <vertAlign val="subscript"/>
        <sz val="10"/>
        <rFont val="Arial"/>
        <family val="2"/>
        <charset val="204"/>
      </rPr>
      <t>тмч</t>
    </r>
  </si>
  <si>
    <t>Массовый часовой расход теплоносителя</t>
  </si>
  <si>
    <r>
      <t>t</t>
    </r>
    <r>
      <rPr>
        <vertAlign val="subscript"/>
        <sz val="10"/>
        <color rgb="FF000000"/>
        <rFont val="Arial"/>
        <family val="2"/>
        <charset val="204"/>
      </rPr>
      <t>т,вх</t>
    </r>
    <r>
      <rPr>
        <sz val="14"/>
        <rFont val="Arial"/>
        <family val="2"/>
        <charset val="204"/>
      </rPr>
      <t>+t</t>
    </r>
    <r>
      <rPr>
        <vertAlign val="subscript"/>
        <sz val="14"/>
        <color rgb="FF000000"/>
        <rFont val="Arial"/>
        <family val="2"/>
        <charset val="204"/>
      </rPr>
      <t>т,вых</t>
    </r>
  </si>
  <si>
    <r>
      <t>0</t>
    </r>
    <r>
      <rPr>
        <sz val="14"/>
        <color rgb="FF000000"/>
        <rFont val="Arial"/>
        <family val="2"/>
        <charset val="204"/>
      </rPr>
      <t>С</t>
    </r>
  </si>
  <si>
    <r>
      <t>t</t>
    </r>
    <r>
      <rPr>
        <b/>
        <vertAlign val="subscript"/>
        <sz val="12"/>
        <color rgb="FF000000"/>
        <rFont val="Arial"/>
        <family val="2"/>
        <charset val="204"/>
      </rPr>
      <t>т,ср</t>
    </r>
  </si>
  <si>
    <t>Средняя температура пром теплоносителя</t>
  </si>
  <si>
    <r>
      <t>t</t>
    </r>
    <r>
      <rPr>
        <vertAlign val="subscript"/>
        <sz val="10"/>
        <rFont val="Arial"/>
        <family val="2"/>
        <charset val="204"/>
      </rPr>
      <t>т,вых</t>
    </r>
  </si>
  <si>
    <t>Температура теплоносителя на выходе</t>
  </si>
  <si>
    <r>
      <t>t</t>
    </r>
    <r>
      <rPr>
        <vertAlign val="subscript"/>
        <sz val="10"/>
        <rFont val="Arial"/>
        <family val="2"/>
        <charset val="204"/>
      </rPr>
      <t>т,вх</t>
    </r>
  </si>
  <si>
    <t>Температура теплоносителя на входе</t>
  </si>
  <si>
    <r>
      <t>G</t>
    </r>
    <r>
      <rPr>
        <vertAlign val="subscript"/>
        <sz val="14"/>
        <rFont val="Arial"/>
        <family val="2"/>
        <charset val="204"/>
      </rPr>
      <t>г</t>
    </r>
    <r>
      <rPr>
        <sz val="14"/>
        <rFont val="Arial"/>
        <family val="2"/>
        <charset val="204"/>
      </rPr>
      <t>(t</t>
    </r>
    <r>
      <rPr>
        <vertAlign val="subscript"/>
        <sz val="14"/>
        <rFont val="Arial"/>
        <family val="2"/>
        <charset val="204"/>
      </rPr>
      <t>вых</t>
    </r>
    <r>
      <rPr>
        <sz val="14"/>
        <rFont val="Arial"/>
        <family val="2"/>
        <charset val="204"/>
      </rPr>
      <t>С</t>
    </r>
    <r>
      <rPr>
        <vertAlign val="subscript"/>
        <sz val="14"/>
        <rFont val="Arial"/>
        <family val="2"/>
        <charset val="204"/>
      </rPr>
      <t>вых</t>
    </r>
    <r>
      <rPr>
        <sz val="14"/>
        <rFont val="Arial"/>
        <family val="2"/>
        <charset val="204"/>
      </rPr>
      <t>- t</t>
    </r>
    <r>
      <rPr>
        <vertAlign val="subscript"/>
        <sz val="14"/>
        <rFont val="Arial"/>
        <family val="2"/>
        <charset val="204"/>
      </rPr>
      <t>вх</t>
    </r>
    <r>
      <rPr>
        <sz val="14"/>
        <rFont val="Arial"/>
        <family val="2"/>
        <charset val="204"/>
      </rPr>
      <t>С</t>
    </r>
    <r>
      <rPr>
        <vertAlign val="subscript"/>
        <sz val="14"/>
        <rFont val="Arial"/>
        <family val="2"/>
        <charset val="204"/>
      </rPr>
      <t>вх</t>
    </r>
    <r>
      <rPr>
        <sz val="14"/>
        <rFont val="Arial"/>
        <family val="2"/>
        <charset val="204"/>
      </rPr>
      <t>)</t>
    </r>
  </si>
  <si>
    <t>ккал/ч</t>
  </si>
  <si>
    <r>
      <t>Q</t>
    </r>
    <r>
      <rPr>
        <vertAlign val="subscript"/>
        <sz val="10"/>
        <color rgb="FF000000"/>
        <rFont val="Arial"/>
        <family val="2"/>
        <charset val="204"/>
      </rPr>
      <t>п,общ</t>
    </r>
  </si>
  <si>
    <t>Необходимая полезная тепловая мощность</t>
  </si>
  <si>
    <r>
      <t>С</t>
    </r>
    <r>
      <rPr>
        <vertAlign val="subscript"/>
        <sz val="10"/>
        <color rgb="FF000000"/>
        <rFont val="Arial"/>
        <family val="2"/>
        <charset val="204"/>
      </rPr>
      <t>вых</t>
    </r>
  </si>
  <si>
    <t>Теплоемкость газа на выходе</t>
  </si>
  <si>
    <r>
      <t>ккал/(нм</t>
    </r>
    <r>
      <rPr>
        <vertAlign val="superscript"/>
        <sz val="10"/>
        <rFont val="Arial"/>
        <family val="2"/>
        <charset val="204"/>
      </rPr>
      <t>3</t>
    </r>
    <r>
      <rPr>
        <sz val="14"/>
        <rFont val="Arial"/>
        <family val="2"/>
        <charset val="204"/>
      </rPr>
      <t>К)</t>
    </r>
  </si>
  <si>
    <r>
      <t>С</t>
    </r>
    <r>
      <rPr>
        <vertAlign val="subscript"/>
        <sz val="10"/>
        <rFont val="Arial"/>
        <family val="2"/>
        <charset val="204"/>
      </rPr>
      <t>вх</t>
    </r>
  </si>
  <si>
    <t>Теплоемкость газа на входе</t>
  </si>
  <si>
    <r>
      <t>t</t>
    </r>
    <r>
      <rPr>
        <vertAlign val="subscript"/>
        <sz val="10"/>
        <color rgb="FF000000"/>
        <rFont val="Arial"/>
        <family val="2"/>
        <charset val="204"/>
      </rPr>
      <t>вых</t>
    </r>
  </si>
  <si>
    <t>Температура выходящего газа</t>
  </si>
  <si>
    <r>
      <t>t</t>
    </r>
    <r>
      <rPr>
        <vertAlign val="subscript"/>
        <sz val="10"/>
        <rFont val="Arial"/>
        <family val="2"/>
        <charset val="204"/>
      </rPr>
      <t>вх</t>
    </r>
  </si>
  <si>
    <t>Температура входящего газа</t>
  </si>
  <si>
    <r>
      <t>нм</t>
    </r>
    <r>
      <rPr>
        <vertAlign val="superscript"/>
        <sz val="14"/>
        <color rgb="FF000000"/>
        <rFont val="Arial"/>
        <family val="2"/>
        <charset val="204"/>
      </rPr>
      <t>3</t>
    </r>
    <r>
      <rPr>
        <sz val="14"/>
        <color rgb="FF000000"/>
        <rFont val="Arial"/>
        <family val="2"/>
        <charset val="204"/>
      </rPr>
      <t>/ч</t>
    </r>
  </si>
  <si>
    <r>
      <t>G</t>
    </r>
    <r>
      <rPr>
        <vertAlign val="subscript"/>
        <sz val="10"/>
        <rFont val="Arial"/>
        <family val="2"/>
        <charset val="204"/>
      </rPr>
      <t>г</t>
    </r>
  </si>
  <si>
    <t>Расчет тепловой мощности</t>
  </si>
  <si>
    <t xml:space="preserve"> </t>
  </si>
  <si>
    <t>Обратный расчет</t>
  </si>
  <si>
    <t>Количество Линий</t>
  </si>
  <si>
    <t>Расчет максимальной пропускной способности ГРС-3 Березовка</t>
  </si>
  <si>
    <t>Pвх,Мпа</t>
  </si>
  <si>
    <t>Pвых,Мпа</t>
  </si>
  <si>
    <t>В ходе расчета максимальной пропускной способности газораспределительной станции (ГРС) были учтены следующие ограничения:</t>
  </si>
  <si>
    <t>Котельная</t>
  </si>
  <si>
    <t>Мощность котлов</t>
  </si>
  <si>
    <t>Температура газа на входе</t>
  </si>
  <si>
    <t>Температура газа на выходе</t>
  </si>
  <si>
    <t>Температура газа на вSходе в ГРС</t>
  </si>
  <si>
    <t>Pвх</t>
  </si>
  <si>
    <t>0,2 МПа</t>
  </si>
  <si>
    <t>0,3 МПа</t>
  </si>
  <si>
    <t>0,4 МПа</t>
  </si>
  <si>
    <t>0,5 МПа</t>
  </si>
  <si>
    <t>0,6 МПа</t>
  </si>
  <si>
    <t>0,7 МПа</t>
  </si>
  <si>
    <t>Входное давление, Мпа</t>
  </si>
  <si>
    <t>Выходное давление, Мпа</t>
  </si>
  <si>
    <t xml:space="preserve"> Qквт = 1500</t>
  </si>
  <si>
    <t>Процесс расчета</t>
  </si>
  <si>
    <t>Расчет максимальной пропускной способности трубопровода различных диаметров при изменении давления для максимально допустимой скорости в 25 м/с._x000D_
Расчет максимальной пропускной способности котельной с учетом мощности и перепада температур._x000D_
Расчет пропускной способности регулятора давления на основе его коэффициента и заданных перепадов давления.</t>
  </si>
  <si>
    <t>Результаты</t>
  </si>
  <si>
    <t>Составлена таблица максимальных расходов газа для заданных условий. Построен график, показывающий зависимость между давлением и максимальным расходом газа.</t>
  </si>
  <si>
    <t>Заключение</t>
  </si>
  <si>
    <t>Согласно результатам данного расчета мы соответствуем требованиям опросного листа по расходным характеристикам ГРС._x000D_
Расчет подтвердил возможность достижения заданных параметров пропускной способности ГРС.</t>
  </si>
  <si>
    <t>1,2 - 7,4</t>
  </si>
  <si>
    <t>0,2 - 1,2</t>
  </si>
  <si>
    <t>0,8 МПа</t>
  </si>
  <si>
    <t>0,9 МПа</t>
  </si>
  <si>
    <t>1 МПа</t>
  </si>
  <si>
    <t>1,1 МПа</t>
  </si>
  <si>
    <t>1,2 МПа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</si>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</sst>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000"/>
    <numFmt numFmtId="165" formatCode="0.000"/>
    <numFmt numFmtId="166" formatCode="#,##0.0000"/>
    <numFmt numFmtId="167" formatCode="0.000000"/>
    <numFmt numFmtId="169" formatCode="0.00000000"/>
    <numFmt numFmtId="170" formatCode="0.000000000"/>
    <numFmt numFmtId="171" formatCode="0.0000000000"/>
    <numFmt numFmtId="174" formatCode="0.0000000000000"/>
    <numFmt numFmtId="176" formatCode="0.000000000000000"/>
    <numFmt numFmtId="177" formatCode="0.00000"/>
  </numFmts>
  <fonts count="47" x14ac:knownFonts="1"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sz val="16"/>
      <name val="Arial"/>
      <family val="2"/>
      <charset val="1"/>
    </font>
    <font>
      <sz val="10"/>
      <name val="Arial"/>
      <family val="2"/>
      <charset val="1"/>
    </font>
    <font>
      <sz val="12"/>
      <name val="Times New Roman"/>
      <family val="1"/>
      <charset val="204"/>
    </font>
    <font>
      <sz val="16"/>
      <name val="Times New Roman"/>
      <family val="1"/>
      <charset val="204"/>
    </font>
    <font>
      <vertAlign val="superscript"/>
      <sz val="10"/>
      <name val="Arial"/>
      <family val="2"/>
      <charset val="204"/>
    </font>
    <font>
      <vertAlign val="subscript"/>
      <sz val="10"/>
      <name val="Arial"/>
      <family val="2"/>
      <charset val="204"/>
    </font>
    <font>
      <b/>
      <sz val="14"/>
      <name val="Arial"/>
      <family val="2"/>
      <charset val="204"/>
    </font>
    <font>
      <sz val="11"/>
      <color rgb="FF000000"/>
      <name val="Calibri"/>
      <family val="2"/>
      <charset val="204"/>
    </font>
    <font>
      <i/>
      <sz val="12"/>
      <name val="Times New Roman"/>
      <family val="1"/>
      <charset val="204"/>
    </font>
    <font>
      <sz val="12"/>
      <name val="Arial"/>
      <family val="2"/>
      <charset val="204"/>
    </font>
    <font>
      <i/>
      <sz val="16"/>
      <name val="Times New Roman"/>
      <family val="1"/>
      <charset val="204"/>
    </font>
    <font>
      <i/>
      <vertAlign val="subscript"/>
      <sz val="16"/>
      <name val="Times New Roman"/>
      <family val="1"/>
      <charset val="204"/>
    </font>
    <font>
      <b/>
      <sz val="10"/>
      <name val="Arial"/>
      <family val="2"/>
      <charset val="204"/>
    </font>
    <font>
      <sz val="14"/>
      <name val="Arial"/>
      <family val="2"/>
      <charset val="204"/>
    </font>
    <font>
      <sz val="14"/>
      <name val="Times New Roman"/>
      <family val="1"/>
      <charset val="204"/>
    </font>
    <font>
      <vertAlign val="subscript"/>
      <sz val="14"/>
      <name val="Times New Roman"/>
      <family val="1"/>
      <charset val="204"/>
    </font>
    <font>
      <sz val="16"/>
      <name val="Arial"/>
      <family val="2"/>
      <charset val="204"/>
    </font>
    <font>
      <vertAlign val="subscript"/>
      <sz val="16"/>
      <name val="Arial"/>
      <family val="2"/>
      <charset val="204"/>
    </font>
    <font>
      <vertAlign val="superscript"/>
      <sz val="14"/>
      <name val="Arial"/>
      <family val="2"/>
      <charset val="204"/>
    </font>
    <font>
      <vertAlign val="superscript"/>
      <sz val="14"/>
      <name val="Times New Roman"/>
      <family val="1"/>
      <charset val="204"/>
    </font>
    <font>
      <sz val="10"/>
      <name val="Times New Roman"/>
      <family val="1"/>
      <charset val="204"/>
    </font>
    <font>
      <sz val="10"/>
      <name val="Symbol"/>
      <family val="1"/>
      <charset val="2"/>
    </font>
    <font>
      <vertAlign val="superscript"/>
      <sz val="10"/>
      <name val="Arial Cyr"/>
      <family val="2"/>
      <charset val="204"/>
    </font>
    <font>
      <vertAlign val="subscript"/>
      <sz val="10"/>
      <name val="Arial Cyr"/>
      <family val="2"/>
      <charset val="204"/>
    </font>
    <font>
      <vertAlign val="superscript"/>
      <sz val="10"/>
      <name val="Symbol"/>
      <family val="1"/>
      <charset val="2"/>
    </font>
    <font>
      <sz val="12"/>
      <name val="Arial Cyr"/>
      <family val="2"/>
      <charset val="204"/>
    </font>
    <font>
      <b/>
      <sz val="12"/>
      <name val="Arial"/>
      <family val="2"/>
      <charset val="204"/>
    </font>
    <font>
      <i/>
      <sz val="10"/>
      <name val="Arial"/>
      <family val="2"/>
      <charset val="204"/>
    </font>
    <font>
      <b/>
      <sz val="11"/>
      <name val="Arial"/>
      <family val="2"/>
      <charset val="204"/>
    </font>
    <font>
      <i/>
      <sz val="10"/>
      <name val="Times New Roman"/>
      <family val="1"/>
      <charset val="204"/>
    </font>
    <font>
      <i/>
      <sz val="14"/>
      <name val="Arial"/>
      <family val="2"/>
      <charset val="204"/>
    </font>
    <font>
      <sz val="14"/>
      <name val="Arial Cyr"/>
      <family val="2"/>
      <charset val="204"/>
    </font>
    <font>
      <vertAlign val="superscript"/>
      <sz val="14"/>
      <color rgb="FF000000"/>
      <name val="Arial"/>
      <family val="2"/>
      <charset val="204"/>
    </font>
    <font>
      <sz val="14"/>
      <color rgb="FF000000"/>
      <name val="Arial"/>
      <family val="2"/>
      <charset val="204"/>
    </font>
    <font>
      <vertAlign val="subscript"/>
      <sz val="14"/>
      <name val="Arial"/>
      <family val="2"/>
      <charset val="204"/>
    </font>
    <font>
      <i/>
      <vertAlign val="subscript"/>
      <sz val="14"/>
      <name val="Arial"/>
      <family val="2"/>
      <charset val="204"/>
    </font>
    <font>
      <i/>
      <vertAlign val="superscript"/>
      <sz val="14"/>
      <name val="Arial"/>
      <family val="2"/>
      <charset val="204"/>
    </font>
    <font>
      <b/>
      <sz val="18"/>
      <name val="Arial"/>
      <family val="2"/>
      <charset val="204"/>
    </font>
    <font>
      <b/>
      <sz val="16"/>
      <name val="Arial"/>
      <family val="2"/>
      <charset val="204"/>
    </font>
    <font>
      <sz val="10"/>
      <color rgb="FF000000"/>
      <name val="Arial"/>
      <family val="2"/>
      <charset val="204"/>
    </font>
    <font>
      <sz val="14"/>
      <name val="Calibri"/>
      <family val="2"/>
      <charset val="204"/>
    </font>
    <font>
      <vertAlign val="subscript"/>
      <sz val="10"/>
      <color rgb="FF000000"/>
      <name val="Arial"/>
      <family val="2"/>
      <charset val="204"/>
    </font>
    <font>
      <vertAlign val="subscript"/>
      <sz val="14"/>
      <color rgb="FF000000"/>
      <name val="Arial"/>
      <family val="2"/>
      <charset val="204"/>
    </font>
    <font>
      <b/>
      <vertAlign val="subscript"/>
      <sz val="12"/>
      <color rgb="FF000000"/>
      <name val="Arial"/>
      <family val="2"/>
      <charset val="204"/>
    </font>
    <font>
      <sz val="20"/>
      <name val="Arial"/>
      <family val="2"/>
      <charset val="204"/>
    </font>
  </fonts>
  <fills count="1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99CC"/>
        <bgColor rgb="FFFF8080"/>
      </patternFill>
    </fill>
    <fill>
      <patternFill patternType="solid">
        <fgColor rgb="FF92D050"/>
        <bgColor rgb="FFCCCCFF"/>
      </patternFill>
    </fill>
    <fill>
      <patternFill patternType="solid">
        <fgColor rgb="FFFFFF99"/>
        <bgColor rgb="FFFFFFCC"/>
      </patternFill>
    </fill>
    <fill>
      <patternFill patternType="solid">
        <fgColor rgb="FF99CCFF"/>
        <bgColor rgb="FFCCCCFF"/>
      </patternFill>
    </fill>
    <fill>
      <patternFill patternType="solid">
        <fgColor indexed="15"/>
        <bgColor indexed="35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31"/>
      </patternFill>
    </fill>
    <fill>
      <patternFill patternType="solid">
        <fgColor rgb="FF00B050"/>
        <bgColor indexed="64"/>
      </patternFill>
    </fill>
    <fill>
      <patternFill patternType="solid">
        <fgColor rgb="FF00FF00"/>
        <bgColor rgb="FF33CCCC"/>
      </patternFill>
    </fill>
    <fill>
      <patternFill patternType="solid">
        <fgColor rgb="FFFFC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rgb="FF0000FF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ck">
        <color rgb="FF0000FF"/>
      </bottom>
      <diagonal/>
    </border>
    <border>
      <left style="thick">
        <color rgb="FF0000FF"/>
      </left>
      <right style="thin">
        <color auto="1"/>
      </right>
      <top style="thick">
        <color rgb="FF0000FF"/>
      </top>
      <bottom style="thin">
        <color auto="1"/>
      </bottom>
      <diagonal/>
    </border>
    <border>
      <left style="thick">
        <color rgb="FF0000FF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ck">
        <color rgb="FF0000FF"/>
      </left>
      <right style="thin">
        <color auto="1"/>
      </right>
      <top style="thin">
        <color indexed="64"/>
      </top>
      <bottom style="thick">
        <color rgb="FF0000FF"/>
      </bottom>
      <diagonal/>
    </border>
    <border>
      <left/>
      <right style="thick">
        <color rgb="FF0000FF"/>
      </right>
      <top style="thick">
        <color rgb="FF0000FF"/>
      </top>
      <bottom/>
      <diagonal/>
    </border>
    <border>
      <left style="thin">
        <color indexed="64"/>
      </left>
      <right style="thick">
        <color rgb="FF0000FF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ck">
        <color rgb="FF0000FF"/>
      </right>
      <top style="thin">
        <color indexed="64"/>
      </top>
      <bottom style="thick">
        <color rgb="FF0000FF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43">
    <xf numFmtId="0" fontId="0" fillId="0" borderId="0" xfId="0"/>
    <xf numFmtId="0" fontId="2" fillId="0" borderId="0" xfId="1" applyFont="1" applyBorder="1" applyAlignment="1"/>
    <xf numFmtId="0" fontId="3" fillId="0" borderId="0" xfId="1" applyFont="1"/>
    <xf numFmtId="0" fontId="0" fillId="2" borderId="1" xfId="0" applyFill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vertical="center" wrapText="1"/>
    </xf>
    <xf numFmtId="0" fontId="4" fillId="4" borderId="1" xfId="0" applyFont="1" applyFill="1" applyBorder="1" applyAlignment="1" applyProtection="1">
      <alignment horizontal="center" vertical="center" wrapText="1"/>
      <protection locked="0"/>
    </xf>
    <xf numFmtId="0" fontId="3" fillId="0" borderId="1" xfId="1" applyFont="1" applyBorder="1" applyAlignment="1">
      <alignment horizontal="center"/>
    </xf>
    <xf numFmtId="0" fontId="3" fillId="2" borderId="1" xfId="1" applyFont="1" applyFill="1" applyBorder="1" applyAlignment="1">
      <alignment horizontal="center"/>
    </xf>
    <xf numFmtId="0" fontId="8" fillId="2" borderId="1" xfId="1" applyFont="1" applyFill="1" applyBorder="1" applyAlignment="1">
      <alignment horizontal="center"/>
    </xf>
    <xf numFmtId="0" fontId="1" fillId="0" borderId="0" xfId="2"/>
    <xf numFmtId="164" fontId="4" fillId="5" borderId="1" xfId="2" applyNumberFormat="1" applyFont="1" applyFill="1" applyBorder="1" applyAlignment="1">
      <alignment horizontal="center" vertical="center" wrapText="1"/>
    </xf>
    <xf numFmtId="164" fontId="1" fillId="0" borderId="1" xfId="2" applyNumberFormat="1" applyBorder="1"/>
    <xf numFmtId="164" fontId="4" fillId="5" borderId="1" xfId="2" applyNumberFormat="1" applyFont="1" applyFill="1" applyBorder="1" applyAlignment="1">
      <alignment vertical="center" wrapText="1"/>
    </xf>
    <xf numFmtId="0" fontId="10" fillId="5" borderId="1" xfId="2" applyFont="1" applyFill="1" applyBorder="1" applyAlignment="1">
      <alignment horizontal="right" vertical="center" wrapText="1"/>
    </xf>
    <xf numFmtId="2" fontId="4" fillId="5" borderId="1" xfId="2" applyNumberFormat="1" applyFont="1" applyFill="1" applyBorder="1" applyAlignment="1">
      <alignment vertical="center" wrapText="1"/>
    </xf>
    <xf numFmtId="0" fontId="11" fillId="0" borderId="0" xfId="2" applyFont="1"/>
    <xf numFmtId="164" fontId="4" fillId="0" borderId="0" xfId="2" applyNumberFormat="1" applyFont="1" applyAlignment="1">
      <alignment horizontal="center" vertical="center" wrapText="1"/>
    </xf>
    <xf numFmtId="0" fontId="1" fillId="0" borderId="0" xfId="2" applyAlignment="1">
      <alignment horizontal="center" vertical="center"/>
    </xf>
    <xf numFmtId="2" fontId="4" fillId="3" borderId="1" xfId="2" applyNumberFormat="1" applyFont="1" applyFill="1" applyBorder="1" applyAlignment="1">
      <alignment vertical="center" wrapText="1"/>
    </xf>
    <xf numFmtId="164" fontId="4" fillId="3" borderId="1" xfId="2" applyNumberFormat="1" applyFont="1" applyFill="1" applyBorder="1" applyAlignment="1">
      <alignment vertical="center" wrapText="1"/>
    </xf>
    <xf numFmtId="2" fontId="4" fillId="3" borderId="1" xfId="2" applyNumberFormat="1" applyFont="1" applyFill="1" applyBorder="1" applyAlignment="1">
      <alignment horizontal="center" vertical="center" wrapText="1"/>
    </xf>
    <xf numFmtId="164" fontId="4" fillId="3" borderId="1" xfId="2" applyNumberFormat="1" applyFont="1" applyFill="1" applyBorder="1" applyAlignment="1">
      <alignment horizontal="center" vertical="center" wrapText="1"/>
    </xf>
    <xf numFmtId="165" fontId="4" fillId="3" borderId="1" xfId="2" applyNumberFormat="1" applyFont="1" applyFill="1" applyBorder="1" applyAlignment="1">
      <alignment horizontal="center" vertical="center" wrapText="1"/>
    </xf>
    <xf numFmtId="0" fontId="4" fillId="3" borderId="1" xfId="2" applyFont="1" applyFill="1" applyBorder="1" applyAlignment="1">
      <alignment horizontal="center" vertical="center" wrapText="1"/>
    </xf>
    <xf numFmtId="0" fontId="4" fillId="6" borderId="1" xfId="2" applyFont="1" applyFill="1" applyBorder="1" applyAlignment="1" applyProtection="1">
      <alignment horizontal="center" vertical="center" wrapText="1"/>
      <protection locked="0"/>
    </xf>
    <xf numFmtId="0" fontId="4" fillId="4" borderId="1" xfId="2" applyFont="1" applyFill="1" applyBorder="1" applyAlignment="1" applyProtection="1">
      <alignment horizontal="center" vertical="center" wrapText="1"/>
      <protection locked="0"/>
    </xf>
    <xf numFmtId="0" fontId="4" fillId="3" borderId="1" xfId="2" applyFont="1" applyFill="1" applyBorder="1" applyAlignment="1">
      <alignment vertical="center" wrapText="1"/>
    </xf>
    <xf numFmtId="0" fontId="1" fillId="0" borderId="0" xfId="2" applyFont="1" applyBorder="1" applyAlignment="1">
      <alignment horizontal="center"/>
    </xf>
    <xf numFmtId="0" fontId="1" fillId="0" borderId="0" xfId="2" applyFont="1" applyBorder="1" applyAlignment="1">
      <alignment horizontal="center" wrapText="1"/>
    </xf>
    <xf numFmtId="0" fontId="10" fillId="5" borderId="1" xfId="2" applyFont="1" applyFill="1" applyBorder="1" applyAlignment="1">
      <alignment horizontal="center" vertical="center" wrapText="1"/>
    </xf>
    <xf numFmtId="0" fontId="5" fillId="3" borderId="1" xfId="2" applyFont="1" applyFill="1" applyBorder="1" applyAlignment="1">
      <alignment horizontal="center" vertical="center" wrapText="1"/>
    </xf>
    <xf numFmtId="0" fontId="1" fillId="0" borderId="0" xfId="2" applyBorder="1"/>
    <xf numFmtId="0" fontId="1" fillId="0" borderId="0" xfId="2" applyFont="1" applyBorder="1" applyAlignment="1">
      <alignment vertical="top"/>
    </xf>
    <xf numFmtId="0" fontId="1" fillId="0" borderId="0" xfId="2" applyFont="1" applyBorder="1" applyAlignment="1">
      <alignment vertical="center"/>
    </xf>
    <xf numFmtId="0" fontId="14" fillId="0" borderId="4" xfId="2" applyFont="1" applyBorder="1" applyAlignment="1">
      <alignment horizontal="center" vertical="center"/>
    </xf>
    <xf numFmtId="0" fontId="1" fillId="0" borderId="1" xfId="2" applyBorder="1"/>
    <xf numFmtId="0" fontId="15" fillId="0" borderId="2" xfId="2" applyFont="1" applyBorder="1"/>
    <xf numFmtId="0" fontId="16" fillId="0" borderId="1" xfId="2" applyFont="1" applyBorder="1" applyAlignment="1">
      <alignment horizontal="center" vertical="center"/>
    </xf>
    <xf numFmtId="0" fontId="4" fillId="0" borderId="1" xfId="2" applyFont="1" applyBorder="1" applyAlignment="1">
      <alignment vertical="center" wrapText="1"/>
    </xf>
    <xf numFmtId="0" fontId="4" fillId="0" borderId="1" xfId="2" applyFont="1" applyBorder="1" applyAlignment="1">
      <alignment horizontal="center" vertical="center" wrapText="1"/>
    </xf>
    <xf numFmtId="0" fontId="11" fillId="0" borderId="0" xfId="2" applyFont="1" applyBorder="1" applyAlignment="1">
      <alignment vertical="center"/>
    </xf>
    <xf numFmtId="0" fontId="11" fillId="0" borderId="4" xfId="2" applyFont="1" applyBorder="1" applyAlignment="1">
      <alignment horizontal="center" vertical="center"/>
    </xf>
    <xf numFmtId="0" fontId="15" fillId="0" borderId="2" xfId="2" applyFont="1" applyBorder="1" applyAlignment="1">
      <alignment horizontal="center" vertical="center"/>
    </xf>
    <xf numFmtId="0" fontId="1" fillId="0" borderId="0" xfId="2" applyBorder="1" applyAlignment="1">
      <alignment vertical="top"/>
    </xf>
    <xf numFmtId="0" fontId="18" fillId="0" borderId="1" xfId="2" applyFont="1" applyBorder="1" applyAlignment="1">
      <alignment horizontal="center" vertical="center"/>
    </xf>
    <xf numFmtId="0" fontId="1" fillId="0" borderId="1" xfId="2" applyFont="1" applyBorder="1" applyAlignment="1">
      <alignment horizontal="center" vertical="center"/>
    </xf>
    <xf numFmtId="0" fontId="16" fillId="0" borderId="2" xfId="2" applyFont="1" applyBorder="1" applyAlignment="1">
      <alignment horizontal="center" vertical="center"/>
    </xf>
    <xf numFmtId="0" fontId="16" fillId="0" borderId="2" xfId="2" applyFont="1" applyBorder="1" applyAlignment="1">
      <alignment horizontal="center"/>
    </xf>
    <xf numFmtId="0" fontId="14" fillId="0" borderId="0" xfId="2" applyFont="1" applyBorder="1" applyAlignment="1">
      <alignment vertical="center"/>
    </xf>
    <xf numFmtId="0" fontId="11" fillId="0" borderId="1" xfId="2" applyFont="1" applyBorder="1" applyAlignment="1">
      <alignment horizontal="center" vertical="center"/>
    </xf>
    <xf numFmtId="0" fontId="1" fillId="0" borderId="5" xfId="2" applyFont="1" applyBorder="1" applyAlignment="1">
      <alignment horizontal="center" vertical="center"/>
    </xf>
    <xf numFmtId="0" fontId="15" fillId="0" borderId="1" xfId="2" applyFont="1" applyBorder="1" applyAlignment="1">
      <alignment horizontal="center" vertical="center"/>
    </xf>
    <xf numFmtId="0" fontId="1" fillId="0" borderId="0" xfId="2" applyFont="1" applyBorder="1" applyAlignment="1"/>
    <xf numFmtId="0" fontId="1" fillId="0" borderId="0" xfId="2" applyBorder="1" applyAlignment="1"/>
    <xf numFmtId="0" fontId="11" fillId="0" borderId="6" xfId="2" applyFont="1" applyBorder="1" applyAlignment="1">
      <alignment horizontal="center" vertical="center"/>
    </xf>
    <xf numFmtId="0" fontId="1" fillId="0" borderId="0" xfId="2" applyFont="1" applyBorder="1"/>
    <xf numFmtId="2" fontId="11" fillId="0" borderId="1" xfId="2" applyNumberFormat="1" applyFont="1" applyBorder="1" applyAlignment="1">
      <alignment horizontal="center" vertical="center"/>
    </xf>
    <xf numFmtId="0" fontId="1" fillId="0" borderId="2" xfId="2" applyBorder="1"/>
    <xf numFmtId="164" fontId="11" fillId="0" borderId="1" xfId="2" applyNumberFormat="1" applyFont="1" applyBorder="1" applyAlignment="1">
      <alignment horizontal="center" vertical="center"/>
    </xf>
    <xf numFmtId="0" fontId="0" fillId="0" borderId="0" xfId="1" applyFont="1" applyBorder="1" applyAlignment="1">
      <alignment horizontal="center"/>
    </xf>
    <xf numFmtId="0" fontId="1" fillId="0" borderId="0" xfId="2" applyFont="1" applyBorder="1" applyAlignment="1">
      <alignment horizontal="left"/>
    </xf>
    <xf numFmtId="0" fontId="1" fillId="0" borderId="7" xfId="2" applyFont="1" applyBorder="1" applyAlignment="1">
      <alignment horizontal="center" vertical="center"/>
    </xf>
    <xf numFmtId="0" fontId="4" fillId="0" borderId="1" xfId="2" applyFont="1" applyBorder="1" applyAlignment="1">
      <alignment wrapText="1"/>
    </xf>
    <xf numFmtId="0" fontId="11" fillId="0" borderId="2" xfId="2" applyFont="1" applyBorder="1" applyAlignment="1">
      <alignment horizontal="center" vertical="center"/>
    </xf>
    <xf numFmtId="0" fontId="11" fillId="3" borderId="2" xfId="2" applyFont="1" applyFill="1" applyBorder="1" applyAlignment="1">
      <alignment horizontal="center" wrapText="1"/>
    </xf>
    <xf numFmtId="0" fontId="21" fillId="0" borderId="1" xfId="2" applyFont="1" applyBorder="1" applyAlignment="1">
      <alignment horizontal="center" vertical="center"/>
    </xf>
    <xf numFmtId="0" fontId="4" fillId="0" borderId="1" xfId="2" applyFont="1" applyBorder="1" applyAlignment="1">
      <alignment horizontal="left" vertical="center" wrapText="1"/>
    </xf>
    <xf numFmtId="0" fontId="11" fillId="0" borderId="1" xfId="2" applyFont="1" applyBorder="1" applyAlignment="1">
      <alignment horizontal="center" vertical="center" wrapText="1"/>
    </xf>
    <xf numFmtId="0" fontId="18" fillId="0" borderId="0" xfId="2" applyFont="1" applyBorder="1" applyAlignment="1">
      <alignment horizontal="center"/>
    </xf>
    <xf numFmtId="0" fontId="1" fillId="0" borderId="0" xfId="2" applyFill="1" applyProtection="1"/>
    <xf numFmtId="0" fontId="1" fillId="0" borderId="0" xfId="2" applyFont="1" applyAlignment="1">
      <alignment horizontal="right"/>
    </xf>
    <xf numFmtId="0" fontId="1" fillId="0" borderId="0" xfId="2" applyAlignment="1">
      <alignment horizontal="left"/>
    </xf>
    <xf numFmtId="166" fontId="1" fillId="0" borderId="0" xfId="2" applyNumberFormat="1" applyAlignment="1">
      <alignment horizontal="left"/>
    </xf>
    <xf numFmtId="0" fontId="23" fillId="0" borderId="0" xfId="2" applyFont="1" applyAlignment="1">
      <alignment horizontal="right"/>
    </xf>
    <xf numFmtId="0" fontId="23" fillId="0" borderId="0" xfId="2" applyFont="1" applyAlignment="1">
      <alignment horizontal="left"/>
    </xf>
    <xf numFmtId="2" fontId="1" fillId="0" borderId="0" xfId="2" applyNumberFormat="1" applyAlignment="1">
      <alignment horizontal="left"/>
    </xf>
    <xf numFmtId="0" fontId="24" fillId="0" borderId="0" xfId="2" applyFont="1" applyAlignment="1">
      <alignment horizontal="left"/>
    </xf>
    <xf numFmtId="2" fontId="1" fillId="0" borderId="0" xfId="2" applyNumberFormat="1"/>
    <xf numFmtId="0" fontId="1" fillId="0" borderId="0" xfId="2" applyFill="1" applyAlignment="1" applyProtection="1">
      <alignment horizontal="right"/>
    </xf>
    <xf numFmtId="1" fontId="1" fillId="0" borderId="0" xfId="2" applyNumberFormat="1"/>
    <xf numFmtId="0" fontId="1" fillId="7" borderId="0" xfId="2" applyFill="1" applyProtection="1">
      <protection locked="0"/>
    </xf>
    <xf numFmtId="0" fontId="1" fillId="0" borderId="0" xfId="2" applyProtection="1">
      <protection locked="0"/>
    </xf>
    <xf numFmtId="0" fontId="1" fillId="0" borderId="0" xfId="2" applyFill="1" applyAlignment="1" applyProtection="1">
      <alignment horizontal="left"/>
    </xf>
    <xf numFmtId="2" fontId="1" fillId="0" borderId="0" xfId="2" applyNumberFormat="1" applyFill="1" applyProtection="1"/>
    <xf numFmtId="1" fontId="1" fillId="0" borderId="0" xfId="2" applyNumberFormat="1" applyFill="1" applyProtection="1"/>
    <xf numFmtId="0" fontId="23" fillId="0" borderId="0" xfId="2" applyFont="1" applyFill="1" applyAlignment="1" applyProtection="1">
      <alignment horizontal="left"/>
    </xf>
    <xf numFmtId="0" fontId="1" fillId="0" borderId="0" xfId="2" applyNumberFormat="1"/>
    <xf numFmtId="0" fontId="1" fillId="0" borderId="0" xfId="2" applyAlignment="1">
      <alignment horizontal="center"/>
    </xf>
    <xf numFmtId="166" fontId="1" fillId="0" borderId="1" xfId="2" applyNumberFormat="1" applyBorder="1" applyAlignment="1">
      <alignment horizontal="center"/>
    </xf>
    <xf numFmtId="0" fontId="1" fillId="0" borderId="1" xfId="2" applyFont="1" applyBorder="1" applyAlignment="1">
      <alignment horizontal="right"/>
    </xf>
    <xf numFmtId="0" fontId="23" fillId="0" borderId="1" xfId="2" applyFont="1" applyBorder="1" applyAlignment="1">
      <alignment horizontal="right"/>
    </xf>
    <xf numFmtId="166" fontId="1" fillId="0" borderId="0" xfId="2" applyNumberFormat="1" applyAlignment="1">
      <alignment horizontal="center"/>
    </xf>
    <xf numFmtId="0" fontId="23" fillId="0" borderId="1" xfId="2" applyFont="1" applyBorder="1" applyAlignment="1">
      <alignment horizontal="left"/>
    </xf>
    <xf numFmtId="0" fontId="1" fillId="0" borderId="1" xfId="2" applyBorder="1" applyAlignment="1">
      <alignment horizontal="center"/>
    </xf>
    <xf numFmtId="0" fontId="23" fillId="0" borderId="0" xfId="2" applyFont="1" applyAlignment="1">
      <alignment horizontal="center"/>
    </xf>
    <xf numFmtId="0" fontId="1" fillId="0" borderId="1" xfId="2" applyBorder="1" applyAlignment="1">
      <alignment horizontal="left"/>
    </xf>
    <xf numFmtId="2" fontId="1" fillId="0" borderId="1" xfId="2" applyNumberFormat="1" applyBorder="1" applyAlignment="1">
      <alignment horizontal="center"/>
    </xf>
    <xf numFmtId="0" fontId="1" fillId="0" borderId="1" xfId="2" applyFont="1" applyBorder="1" applyAlignment="1">
      <alignment horizontal="center"/>
    </xf>
    <xf numFmtId="0" fontId="23" fillId="0" borderId="1" xfId="2" applyFont="1" applyBorder="1" applyAlignment="1">
      <alignment horizontal="center"/>
    </xf>
    <xf numFmtId="0" fontId="1" fillId="8" borderId="1" xfId="2" applyFill="1" applyBorder="1"/>
    <xf numFmtId="0" fontId="1" fillId="0" borderId="1" xfId="2" applyFont="1" applyBorder="1"/>
    <xf numFmtId="1" fontId="1" fillId="0" borderId="1" xfId="2" applyNumberFormat="1" applyBorder="1" applyAlignment="1">
      <alignment horizontal="center"/>
    </xf>
    <xf numFmtId="0" fontId="1" fillId="9" borderId="0" xfId="2" applyFill="1" applyProtection="1">
      <protection locked="0"/>
    </xf>
    <xf numFmtId="0" fontId="1" fillId="0" borderId="0" xfId="2" applyAlignment="1">
      <alignment vertical="center" wrapText="1"/>
    </xf>
    <xf numFmtId="0" fontId="26" fillId="0" borderId="0" xfId="2" applyFont="1" applyAlignment="1">
      <alignment horizontal="left"/>
    </xf>
    <xf numFmtId="2" fontId="1" fillId="9" borderId="0" xfId="2" applyNumberFormat="1" applyFill="1" applyProtection="1">
      <protection locked="0"/>
    </xf>
    <xf numFmtId="2" fontId="1" fillId="9" borderId="0" xfId="2" applyNumberFormat="1" applyFill="1" applyAlignment="1" applyProtection="1">
      <alignment horizontal="right"/>
      <protection locked="0"/>
    </xf>
    <xf numFmtId="1" fontId="1" fillId="10" borderId="8" xfId="2" applyNumberFormat="1" applyFill="1" applyBorder="1" applyAlignment="1">
      <alignment horizontal="center" vertical="center"/>
    </xf>
    <xf numFmtId="2" fontId="1" fillId="9" borderId="0" xfId="2" applyNumberFormat="1" applyFill="1" applyAlignment="1" applyProtection="1">
      <alignment horizontal="center" vertical="center"/>
      <protection locked="0"/>
    </xf>
    <xf numFmtId="0" fontId="27" fillId="0" borderId="0" xfId="2" applyFont="1"/>
    <xf numFmtId="0" fontId="1" fillId="0" borderId="0" xfId="2" applyBorder="1" applyAlignment="1">
      <alignment horizontal="center"/>
    </xf>
    <xf numFmtId="0" fontId="28" fillId="0" borderId="0" xfId="2" applyFont="1" applyBorder="1" applyAlignment="1">
      <alignment horizontal="center" vertical="center"/>
    </xf>
    <xf numFmtId="0" fontId="14" fillId="0" borderId="0" xfId="2" applyFont="1" applyBorder="1" applyAlignment="1">
      <alignment horizontal="center" wrapText="1"/>
    </xf>
    <xf numFmtId="0" fontId="14" fillId="0" borderId="0" xfId="2" applyFont="1" applyBorder="1" applyAlignment="1">
      <alignment horizontal="center" vertical="center" wrapText="1"/>
    </xf>
    <xf numFmtId="0" fontId="29" fillId="0" borderId="0" xfId="2" applyFont="1" applyBorder="1" applyAlignment="1">
      <alignment wrapText="1"/>
    </xf>
    <xf numFmtId="0" fontId="30" fillId="0" borderId="0" xfId="2" applyFont="1" applyBorder="1" applyAlignment="1">
      <alignment horizontal="center"/>
    </xf>
    <xf numFmtId="0" fontId="29" fillId="0" borderId="0" xfId="2" applyFont="1" applyBorder="1"/>
    <xf numFmtId="0" fontId="31" fillId="0" borderId="0" xfId="2" applyFont="1"/>
    <xf numFmtId="2" fontId="15" fillId="11" borderId="1" xfId="2" applyNumberFormat="1" applyFont="1" applyFill="1" applyBorder="1" applyAlignment="1">
      <alignment horizontal="center"/>
    </xf>
    <xf numFmtId="0" fontId="29" fillId="0" borderId="1" xfId="2" applyFont="1" applyBorder="1" applyAlignment="1">
      <alignment horizontal="left"/>
    </xf>
    <xf numFmtId="0" fontId="15" fillId="3" borderId="1" xfId="2" applyFont="1" applyFill="1" applyBorder="1" applyAlignment="1">
      <alignment horizontal="center" wrapText="1"/>
    </xf>
    <xf numFmtId="0" fontId="15" fillId="0" borderId="0" xfId="2" applyFont="1" applyBorder="1" applyAlignment="1">
      <alignment horizontal="center"/>
    </xf>
    <xf numFmtId="0" fontId="18" fillId="0" borderId="0" xfId="2" applyFont="1" applyBorder="1"/>
    <xf numFmtId="0" fontId="32" fillId="0" borderId="0" xfId="2" applyFont="1" applyBorder="1" applyAlignment="1">
      <alignment horizontal="center" wrapText="1"/>
    </xf>
    <xf numFmtId="0" fontId="15" fillId="0" borderId="0" xfId="2" applyFont="1" applyBorder="1" applyAlignment="1">
      <alignment horizontal="center" vertical="center" wrapText="1"/>
    </xf>
    <xf numFmtId="0" fontId="33" fillId="0" borderId="0" xfId="2" applyFont="1" applyBorder="1" applyAlignment="1">
      <alignment horizontal="center" vertical="center"/>
    </xf>
    <xf numFmtId="0" fontId="15" fillId="0" borderId="0" xfId="2" applyFont="1" applyBorder="1"/>
    <xf numFmtId="0" fontId="15" fillId="0" borderId="1" xfId="2" applyFont="1" applyBorder="1" applyAlignment="1">
      <alignment horizontal="center"/>
    </xf>
    <xf numFmtId="0" fontId="15" fillId="0" borderId="1" xfId="2" applyFont="1" applyBorder="1" applyAlignment="1">
      <alignment horizontal="center" vertical="center" wrapText="1"/>
    </xf>
    <xf numFmtId="0" fontId="15" fillId="0" borderId="1" xfId="2" applyFont="1" applyBorder="1"/>
    <xf numFmtId="0" fontId="32" fillId="0" borderId="1" xfId="2" applyFont="1" applyBorder="1" applyAlignment="1">
      <alignment horizontal="center" wrapText="1"/>
    </xf>
    <xf numFmtId="2" fontId="15" fillId="11" borderId="9" xfId="2" applyNumberFormat="1" applyFont="1" applyFill="1" applyBorder="1" applyAlignment="1">
      <alignment horizontal="center"/>
    </xf>
    <xf numFmtId="0" fontId="1" fillId="12" borderId="10" xfId="2" applyFont="1" applyFill="1" applyBorder="1" applyAlignment="1">
      <alignment horizontal="center" vertical="center"/>
    </xf>
    <xf numFmtId="0" fontId="15" fillId="11" borderId="2" xfId="2" applyFont="1" applyFill="1" applyBorder="1" applyAlignment="1">
      <alignment horizontal="center"/>
    </xf>
    <xf numFmtId="0" fontId="32" fillId="0" borderId="1" xfId="2" applyFont="1" applyBorder="1" applyAlignment="1">
      <alignment horizontal="center"/>
    </xf>
    <xf numFmtId="0" fontId="15" fillId="0" borderId="1" xfId="2" applyFont="1" applyBorder="1" applyAlignment="1">
      <alignment horizontal="right"/>
    </xf>
    <xf numFmtId="0" fontId="1" fillId="0" borderId="11" xfId="2" applyBorder="1" applyAlignment="1">
      <alignment horizontal="center" vertical="center"/>
    </xf>
    <xf numFmtId="0" fontId="1" fillId="0" borderId="12" xfId="2" applyBorder="1" applyAlignment="1">
      <alignment horizontal="center" vertical="center"/>
    </xf>
    <xf numFmtId="2" fontId="15" fillId="11" borderId="2" xfId="2" applyNumberFormat="1" applyFont="1" applyFill="1" applyBorder="1" applyAlignment="1">
      <alignment horizontal="center"/>
    </xf>
    <xf numFmtId="0" fontId="18" fillId="0" borderId="1" xfId="2" applyFont="1" applyBorder="1"/>
    <xf numFmtId="2" fontId="1" fillId="0" borderId="0" xfId="2" applyNumberFormat="1" applyAlignment="1">
      <alignment horizontal="center"/>
    </xf>
    <xf numFmtId="0" fontId="1" fillId="0" borderId="0" xfId="2" applyFont="1" applyAlignment="1">
      <alignment horizontal="center"/>
    </xf>
    <xf numFmtId="0" fontId="15" fillId="3" borderId="1" xfId="2" applyFont="1" applyFill="1" applyBorder="1" applyAlignment="1" applyProtection="1">
      <alignment horizontal="center" wrapText="1"/>
      <protection locked="0"/>
    </xf>
    <xf numFmtId="0" fontId="32" fillId="0" borderId="1" xfId="2" applyFont="1" applyBorder="1"/>
    <xf numFmtId="0" fontId="38" fillId="0" borderId="1" xfId="2" applyFont="1" applyBorder="1" applyAlignment="1">
      <alignment horizontal="center"/>
    </xf>
    <xf numFmtId="165" fontId="1" fillId="0" borderId="0" xfId="2" applyNumberFormat="1" applyAlignment="1">
      <alignment horizontal="center"/>
    </xf>
    <xf numFmtId="0" fontId="32" fillId="0" borderId="1" xfId="2" applyFont="1" applyBorder="1" applyAlignment="1">
      <alignment wrapText="1"/>
    </xf>
    <xf numFmtId="0" fontId="32" fillId="0" borderId="5" xfId="2" applyFont="1" applyBorder="1" applyAlignment="1">
      <alignment horizontal="center" vertical="center"/>
    </xf>
    <xf numFmtId="0" fontId="32" fillId="0" borderId="13" xfId="2" applyFont="1" applyBorder="1" applyAlignment="1">
      <alignment horizontal="center" vertical="center" wrapText="1"/>
    </xf>
    <xf numFmtId="0" fontId="32" fillId="0" borderId="5" xfId="2" applyFont="1" applyBorder="1" applyAlignment="1">
      <alignment horizontal="center" vertical="center" wrapText="1"/>
    </xf>
    <xf numFmtId="0" fontId="32" fillId="0" borderId="13" xfId="2" applyFont="1" applyBorder="1" applyAlignment="1">
      <alignment horizontal="center" vertical="center"/>
    </xf>
    <xf numFmtId="1" fontId="1" fillId="0" borderId="0" xfId="2" applyNumberFormat="1" applyBorder="1" applyAlignment="1">
      <alignment horizontal="center"/>
    </xf>
    <xf numFmtId="0" fontId="28" fillId="0" borderId="0" xfId="2" applyFont="1" applyBorder="1"/>
    <xf numFmtId="0" fontId="15" fillId="0" borderId="0" xfId="2" applyFont="1"/>
    <xf numFmtId="0" fontId="15" fillId="0" borderId="14" xfId="2" applyFont="1" applyBorder="1" applyAlignment="1">
      <alignment horizontal="center"/>
    </xf>
    <xf numFmtId="0" fontId="15" fillId="0" borderId="0" xfId="2" applyFont="1" applyBorder="1" applyAlignment="1">
      <alignment vertical="center"/>
    </xf>
    <xf numFmtId="0" fontId="16" fillId="0" borderId="0" xfId="2" applyFont="1" applyBorder="1" applyAlignment="1">
      <alignment horizontal="center" vertical="center"/>
    </xf>
    <xf numFmtId="0" fontId="15" fillId="0" borderId="0" xfId="2" applyFont="1" applyBorder="1" applyAlignment="1">
      <alignment horizontal="center" vertical="center"/>
    </xf>
    <xf numFmtId="0" fontId="35" fillId="0" borderId="0" xfId="2" applyFont="1" applyBorder="1" applyAlignment="1">
      <alignment horizontal="center" vertical="center"/>
    </xf>
    <xf numFmtId="0" fontId="35" fillId="0" borderId="0" xfId="2" applyFont="1" applyBorder="1" applyAlignment="1">
      <alignment horizontal="center" vertical="center" wrapText="1"/>
    </xf>
    <xf numFmtId="0" fontId="15" fillId="0" borderId="0" xfId="2" applyFont="1" applyBorder="1" applyAlignment="1">
      <alignment vertical="center" wrapText="1"/>
    </xf>
    <xf numFmtId="0" fontId="40" fillId="0" borderId="0" xfId="2" applyFont="1" applyBorder="1" applyAlignment="1">
      <alignment vertical="center"/>
    </xf>
    <xf numFmtId="0" fontId="40" fillId="0" borderId="15" xfId="2" applyFont="1" applyBorder="1" applyAlignment="1">
      <alignment vertical="center"/>
    </xf>
    <xf numFmtId="0" fontId="15" fillId="0" borderId="0" xfId="2" applyFont="1" applyBorder="1" applyAlignment="1">
      <alignment horizontal="left" vertical="center"/>
    </xf>
    <xf numFmtId="0" fontId="15" fillId="0" borderId="0" xfId="2" applyFont="1" applyBorder="1" applyAlignment="1">
      <alignment horizontal="left" vertical="center" wrapText="1"/>
    </xf>
    <xf numFmtId="0" fontId="11" fillId="0" borderId="0" xfId="2" applyFont="1" applyBorder="1" applyAlignment="1">
      <alignment horizontal="center" vertical="center"/>
    </xf>
    <xf numFmtId="0" fontId="41" fillId="0" borderId="0" xfId="2" applyFont="1" applyBorder="1" applyAlignment="1">
      <alignment horizontal="center" vertical="center" wrapText="1"/>
    </xf>
    <xf numFmtId="0" fontId="15" fillId="0" borderId="0" xfId="2" applyFont="1" applyBorder="1" applyAlignment="1">
      <alignment horizontal="left"/>
    </xf>
    <xf numFmtId="0" fontId="39" fillId="0" borderId="0" xfId="2" applyFont="1" applyBorder="1" applyAlignment="1">
      <alignment horizontal="center"/>
    </xf>
    <xf numFmtId="0" fontId="42" fillId="0" borderId="1" xfId="2" applyFont="1" applyBorder="1" applyAlignment="1">
      <alignment horizontal="center"/>
    </xf>
    <xf numFmtId="0" fontId="15" fillId="11" borderId="1" xfId="2" applyFont="1" applyFill="1" applyBorder="1" applyAlignment="1">
      <alignment horizontal="center" vertical="center"/>
    </xf>
    <xf numFmtId="0" fontId="15" fillId="0" borderId="1" xfId="2" applyFont="1" applyBorder="1" applyAlignment="1">
      <alignment vertical="center" wrapText="1"/>
    </xf>
    <xf numFmtId="2" fontId="15" fillId="11" borderId="1" xfId="2" applyNumberFormat="1" applyFont="1" applyFill="1" applyBorder="1" applyAlignment="1">
      <alignment horizontal="center" vertical="center"/>
    </xf>
    <xf numFmtId="0" fontId="34" fillId="0" borderId="1" xfId="2" applyFont="1" applyBorder="1" applyAlignment="1">
      <alignment horizontal="center" vertical="center" wrapText="1"/>
    </xf>
    <xf numFmtId="0" fontId="35" fillId="0" borderId="1" xfId="2" applyFont="1" applyBorder="1" applyAlignment="1">
      <alignment horizontal="center" vertical="center"/>
    </xf>
    <xf numFmtId="165" fontId="15" fillId="11" borderId="1" xfId="2" applyNumberFormat="1" applyFont="1" applyFill="1" applyBorder="1" applyAlignment="1">
      <alignment horizontal="center" vertical="center"/>
    </xf>
    <xf numFmtId="0" fontId="15" fillId="0" borderId="1" xfId="2" applyFont="1" applyBorder="1" applyAlignment="1">
      <alignment wrapText="1"/>
    </xf>
    <xf numFmtId="0" fontId="15" fillId="0" borderId="0" xfId="2" applyFont="1" applyBorder="1" applyAlignment="1"/>
    <xf numFmtId="0" fontId="15" fillId="0" borderId="16" xfId="2" applyFont="1" applyBorder="1" applyAlignment="1">
      <alignment horizontal="center" vertical="center"/>
    </xf>
    <xf numFmtId="0" fontId="15" fillId="0" borderId="17" xfId="2" applyFont="1" applyBorder="1" applyAlignment="1">
      <alignment horizontal="center" vertical="center" wrapText="1"/>
    </xf>
    <xf numFmtId="0" fontId="15" fillId="0" borderId="16" xfId="2" applyFont="1" applyBorder="1" applyAlignment="1">
      <alignment horizontal="center" vertical="center" wrapText="1"/>
    </xf>
    <xf numFmtId="0" fontId="15" fillId="0" borderId="18" xfId="2" applyFont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4" borderId="2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/>
    <xf numFmtId="0" fontId="3" fillId="0" borderId="1" xfId="1" applyFont="1" applyFill="1" applyBorder="1" applyAlignment="1">
      <alignment horizontal="center"/>
    </xf>
    <xf numFmtId="3" fontId="3" fillId="0" borderId="1" xfId="1" applyNumberFormat="1" applyFont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3" fillId="0" borderId="1" xfId="1" applyFont="1" applyFill="1" applyBorder="1" applyAlignment="1">
      <alignment horizontal="center" vertical="center"/>
    </xf>
    <xf numFmtId="2" fontId="15" fillId="3" borderId="1" xfId="2" applyNumberFormat="1" applyFont="1" applyFill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0" fillId="13" borderId="1" xfId="0" applyFill="1" applyBorder="1"/>
    <xf numFmtId="0" fontId="0" fillId="0" borderId="0" xfId="0" applyFill="1" applyBorder="1"/>
    <xf numFmtId="0" fontId="0" fillId="0" borderId="0" xfId="0" applyAlignment="1"/>
    <xf numFmtId="0" fontId="0" fillId="0" borderId="0" xfId="0" applyBorder="1" applyAlignment="1">
      <alignment vertical="center"/>
    </xf>
    <xf numFmtId="0" fontId="0" fillId="0" borderId="0" xfId="0" applyFill="1" applyBorder="1" applyAlignment="1">
      <alignment vertical="center"/>
    </xf>
    <xf numFmtId="0" fontId="11" fillId="0" borderId="1" xfId="2" applyFont="1" applyBorder="1" applyAlignment="1">
      <alignment horizontal="center" vertical="center"/>
    </xf>
    <xf numFmtId="0" fontId="15" fillId="0" borderId="2" xfId="2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1" xfId="0" applyBorder="1"/>
    <xf numFmtId="0" fontId="0" fillId="0" borderId="23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0" borderId="26" xfId="0" applyBorder="1"/>
    <xf numFmtId="0" fontId="0" fillId="0" borderId="27" xfId="0" applyFill="1" applyBorder="1" applyAlignment="1">
      <alignment horizontal="center" vertical="center"/>
    </xf>
    <xf numFmtId="0" fontId="0" fillId="14" borderId="22" xfId="0" applyFill="1" applyBorder="1" applyAlignment="1">
      <alignment horizontal="center" vertical="center"/>
    </xf>
    <xf numFmtId="0" fontId="0" fillId="14" borderId="28" xfId="0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0" borderId="2" xfId="1" applyFont="1" applyBorder="1" applyAlignment="1">
      <alignment horizontal="center"/>
    </xf>
    <xf numFmtId="0" fontId="2" fillId="0" borderId="3" xfId="1" applyFont="1" applyBorder="1" applyAlignment="1">
      <alignment horizontal="center"/>
    </xf>
    <xf numFmtId="0" fontId="2" fillId="0" borderId="4" xfId="1" applyFont="1" applyBorder="1" applyAlignment="1">
      <alignment horizontal="center"/>
    </xf>
    <xf numFmtId="0" fontId="3" fillId="0" borderId="2" xfId="1" applyFont="1" applyBorder="1" applyAlignment="1">
      <alignment horizontal="left"/>
    </xf>
    <xf numFmtId="0" fontId="3" fillId="0" borderId="3" xfId="1" applyFont="1" applyBorder="1" applyAlignment="1">
      <alignment horizontal="left"/>
    </xf>
    <xf numFmtId="0" fontId="3" fillId="0" borderId="4" xfId="1" applyFont="1" applyBorder="1" applyAlignment="1">
      <alignment horizontal="left"/>
    </xf>
    <xf numFmtId="0" fontId="3" fillId="0" borderId="2" xfId="1" applyFont="1" applyBorder="1" applyAlignment="1">
      <alignment horizontal="left" wrapText="1"/>
    </xf>
    <xf numFmtId="0" fontId="3" fillId="0" borderId="3" xfId="1" applyFont="1" applyBorder="1" applyAlignment="1">
      <alignment horizontal="left" wrapText="1"/>
    </xf>
    <xf numFmtId="0" fontId="3" fillId="0" borderId="4" xfId="1" applyFont="1" applyBorder="1" applyAlignment="1">
      <alignment horizontal="left" wrapText="1"/>
    </xf>
    <xf numFmtId="0" fontId="1" fillId="0" borderId="1" xfId="2" applyBorder="1" applyAlignment="1">
      <alignment horizontal="left"/>
    </xf>
    <xf numFmtId="0" fontId="1" fillId="0" borderId="1" xfId="2" applyFont="1" applyBorder="1" applyAlignment="1">
      <alignment horizontal="left"/>
    </xf>
    <xf numFmtId="0" fontId="1" fillId="0" borderId="1" xfId="2" applyFont="1" applyBorder="1" applyAlignment="1">
      <alignment horizontal="center"/>
    </xf>
    <xf numFmtId="0" fontId="1" fillId="0" borderId="5" xfId="2" applyFont="1" applyBorder="1" applyAlignment="1">
      <alignment horizontal="center"/>
    </xf>
    <xf numFmtId="0" fontId="39" fillId="0" borderId="4" xfId="2" applyFont="1" applyBorder="1" applyAlignment="1">
      <alignment horizontal="center" wrapText="1"/>
    </xf>
    <xf numFmtId="0" fontId="29" fillId="0" borderId="1" xfId="2" applyFont="1" applyBorder="1" applyAlignment="1">
      <alignment horizontal="left"/>
    </xf>
    <xf numFmtId="0" fontId="1" fillId="0" borderId="19" xfId="2" applyBorder="1" applyAlignment="1">
      <alignment horizontal="center"/>
    </xf>
    <xf numFmtId="0" fontId="1" fillId="0" borderId="20" xfId="2" applyBorder="1" applyAlignment="1">
      <alignment horizontal="center"/>
    </xf>
    <xf numFmtId="0" fontId="18" fillId="0" borderId="0" xfId="2" applyFont="1" applyBorder="1" applyAlignment="1">
      <alignment horizontal="center"/>
    </xf>
    <xf numFmtId="0" fontId="11" fillId="0" borderId="1" xfId="2" applyFont="1" applyBorder="1" applyAlignment="1">
      <alignment horizontal="center" vertical="center"/>
    </xf>
    <xf numFmtId="0" fontId="15" fillId="0" borderId="2" xfId="2" applyFont="1" applyBorder="1" applyAlignment="1">
      <alignment horizontal="center" vertical="center"/>
    </xf>
    <xf numFmtId="0" fontId="11" fillId="0" borderId="0" xfId="2" applyFont="1" applyBorder="1" applyAlignment="1">
      <alignment horizontal="center" vertical="center" wrapText="1"/>
    </xf>
    <xf numFmtId="0" fontId="22" fillId="0" borderId="0" xfId="2" applyFont="1" applyBorder="1" applyAlignment="1">
      <alignment horizontal="center" wrapText="1"/>
    </xf>
    <xf numFmtId="0" fontId="46" fillId="0" borderId="1" xfId="2" applyFont="1" applyBorder="1" applyAlignment="1">
      <alignment horizontal="center" vertical="center"/>
    </xf>
    <xf numFmtId="174" fontId="1" fillId="0" borderId="0" xfId="2" applyNumberFormat="1"/>
    <xf numFmtId="176" fontId="1" fillId="0" borderId="0" xfId="2" applyNumberFormat="1"/>
    <xf numFmtId="170" fontId="15" fillId="11" borderId="1" xfId="2" applyNumberFormat="1" applyFont="1" applyFill="1" applyBorder="1" applyAlignment="1">
      <alignment horizontal="center"/>
    </xf>
    <xf numFmtId="169" fontId="0" fillId="0" borderId="0" xfId="0" applyNumberFormat="1"/>
    <xf numFmtId="177" fontId="4" fillId="5" borderId="1" xfId="2" applyNumberFormat="1" applyFont="1" applyFill="1" applyBorder="1" applyAlignment="1">
      <alignment vertical="center" wrapText="1"/>
    </xf>
    <xf numFmtId="167" fontId="4" fillId="5" borderId="1" xfId="2" applyNumberFormat="1" applyFont="1" applyFill="1" applyBorder="1" applyAlignment="1">
      <alignment vertical="center" wrapText="1"/>
    </xf>
    <xf numFmtId="171" fontId="1" fillId="0" borderId="0" xfId="2" applyNumberFormat="1" applyAlignment="1">
      <alignment horizontal="center"/>
    </xf>
  </cellXfs>
  <cellStyles count="3">
    <cellStyle name="TableStyleLight1" xfId="1" xr:uid="{00000000-0005-0000-0000-000000000000}"/>
    <cellStyle name="Обычный" xfId="0" builtinId="0"/>
    <cellStyle name="Обычный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Максимальная пропускная способность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P_out - 0,2</c:v>
          </c:tx>
          <c:marker>
            <c:symbol val="none"/>
          </c:marker>
          <c:cat>
            <c:numRef>
              <c:f>Результат!$B$19:$AG$19</c:f>
              <c:numCache>
                <c:formatCode>General</c:formatCode>
                <c:ptCount val="32"/>
                <c:pt idx="0">
                  <c:v>1.2</c:v>
                </c:pt>
                <c:pt idx="1">
                  <c:v>1.4</c:v>
                </c:pt>
                <c:pt idx="2">
                  <c:v>1.6</c:v>
                </c:pt>
                <c:pt idx="3">
                  <c:v>1.8</c:v>
                </c:pt>
                <c:pt idx="4">
                  <c:v>2</c:v>
                </c:pt>
                <c:pt idx="5">
                  <c:v>2.2000000000000002</c:v>
                </c:pt>
                <c:pt idx="6">
                  <c:v>2.4000000000000004</c:v>
                </c:pt>
                <c:pt idx="7">
                  <c:v>2.6</c:v>
                </c:pt>
                <c:pt idx="8">
                  <c:v>2.8</c:v>
                </c:pt>
                <c:pt idx="9">
                  <c:v>3</c:v>
                </c:pt>
                <c:pt idx="10">
                  <c:v>3.2</c:v>
                </c:pt>
                <c:pt idx="11">
                  <c:v>3.4000000000000004</c:v>
                </c:pt>
                <c:pt idx="12">
                  <c:v>3.6000000000000005</c:v>
                </c:pt>
                <c:pt idx="13">
                  <c:v>3.8</c:v>
                </c:pt>
                <c:pt idx="14">
                  <c:v>4</c:v>
                </c:pt>
                <c:pt idx="15">
                  <c:v>4.2</c:v>
                </c:pt>
                <c:pt idx="16">
                  <c:v>4.4000000000000004</c:v>
                </c:pt>
                <c:pt idx="17">
                  <c:v>4.6000000000000005</c:v>
                </c:pt>
                <c:pt idx="18">
                  <c:v>4.8</c:v>
                </c:pt>
                <c:pt idx="19">
                  <c:v>5</c:v>
                </c:pt>
                <c:pt idx="20">
                  <c:v>5.2</c:v>
                </c:pt>
                <c:pt idx="21">
                  <c:v>5.4</c:v>
                </c:pt>
                <c:pt idx="22">
                  <c:v>5.6000000000000005</c:v>
                </c:pt>
                <c:pt idx="23">
                  <c:v>5.8000000000000007</c:v>
                </c:pt>
                <c:pt idx="24">
                  <c:v>6.0000000000000009</c:v>
                </c:pt>
                <c:pt idx="25">
                  <c:v>6.2</c:v>
                </c:pt>
                <c:pt idx="26">
                  <c:v>6.4</c:v>
                </c:pt>
                <c:pt idx="27">
                  <c:v>6.6000000000000005</c:v>
                </c:pt>
                <c:pt idx="28">
                  <c:v>6.8000000000000007</c:v>
                </c:pt>
                <c:pt idx="29">
                  <c:v>7.0000000000000009</c:v>
                </c:pt>
                <c:pt idx="30">
                  <c:v>7.2</c:v>
                </c:pt>
                <c:pt idx="31">
                  <c:v>7.4</c:v>
                </c:pt>
              </c:numCache>
            </c:numRef>
          </c:cat>
          <c:val>
            <c:numRef>
              <c:f>Результат!$B$20:$AG$20</c:f>
              <c:numCache>
                <c:formatCode>General</c:formatCode>
                <c:ptCount val="32"/>
                <c:pt idx="0">
                  <c:v>328976</c:v>
                </c:pt>
                <c:pt idx="1">
                  <c:v>296372</c:v>
                </c:pt>
                <c:pt idx="2">
                  <c:v>269772</c:v>
                </c:pt>
                <c:pt idx="3">
                  <c:v>247676</c:v>
                </c:pt>
                <c:pt idx="4">
                  <c:v>229044</c:v>
                </c:pt>
                <c:pt idx="5">
                  <c:v>213136</c:v>
                </c:pt>
                <c:pt idx="6">
                  <c:v>199405</c:v>
                </c:pt>
                <c:pt idx="7">
                  <c:v>187445</c:v>
                </c:pt>
                <c:pt idx="8">
                  <c:v>176943</c:v>
                </c:pt>
                <c:pt idx="9">
                  <c:v>167657</c:v>
                </c:pt>
                <c:pt idx="10">
                  <c:v>159393</c:v>
                </c:pt>
                <c:pt idx="11">
                  <c:v>152000</c:v>
                </c:pt>
                <c:pt idx="12">
                  <c:v>145353</c:v>
                </c:pt>
                <c:pt idx="13">
                  <c:v>139351</c:v>
                </c:pt>
                <c:pt idx="14">
                  <c:v>133909</c:v>
                </c:pt>
                <c:pt idx="15">
                  <c:v>128958</c:v>
                </c:pt>
                <c:pt idx="16">
                  <c:v>124440</c:v>
                </c:pt>
                <c:pt idx="17">
                  <c:v>120305</c:v>
                </c:pt>
                <c:pt idx="18">
                  <c:v>116511</c:v>
                </c:pt>
                <c:pt idx="19">
                  <c:v>113021</c:v>
                </c:pt>
                <c:pt idx="20">
                  <c:v>109806</c:v>
                </c:pt>
                <c:pt idx="21">
                  <c:v>106836</c:v>
                </c:pt>
                <c:pt idx="22">
                  <c:v>104091</c:v>
                </c:pt>
                <c:pt idx="23">
                  <c:v>101548</c:v>
                </c:pt>
                <c:pt idx="24">
                  <c:v>99190</c:v>
                </c:pt>
                <c:pt idx="25">
                  <c:v>97002</c:v>
                </c:pt>
                <c:pt idx="26">
                  <c:v>94969</c:v>
                </c:pt>
                <c:pt idx="27">
                  <c:v>93079</c:v>
                </c:pt>
                <c:pt idx="28">
                  <c:v>91321</c:v>
                </c:pt>
                <c:pt idx="29">
                  <c:v>89686</c:v>
                </c:pt>
                <c:pt idx="30">
                  <c:v>88164</c:v>
                </c:pt>
                <c:pt idx="31">
                  <c:v>86748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D5-47E1-8909-193633AAD10D}"/>
            </c:ext>
          </c:extLst>
        </c:ser>
        <c:ser>
          <c:idx val="1"/>
          <c:order val="1"/>
          <c:tx>
            <c:v>P_out - 0,3</c:v>
          </c:tx>
          <c:marker>
            <c:symbol val="none"/>
          </c:marker>
          <c:cat>
            <c:numRef>
              <c:f>Результат!$B$19:$AG$19</c:f>
              <c:numCache>
                <c:formatCode>General</c:formatCode>
                <c:ptCount val="32"/>
                <c:pt idx="0">
                  <c:v>1.2</c:v>
                </c:pt>
                <c:pt idx="1">
                  <c:v>1.4</c:v>
                </c:pt>
                <c:pt idx="2">
                  <c:v>1.6</c:v>
                </c:pt>
                <c:pt idx="3">
                  <c:v>1.8</c:v>
                </c:pt>
                <c:pt idx="4">
                  <c:v>2</c:v>
                </c:pt>
                <c:pt idx="5">
                  <c:v>2.2000000000000002</c:v>
                </c:pt>
                <c:pt idx="6">
                  <c:v>2.4000000000000004</c:v>
                </c:pt>
                <c:pt idx="7">
                  <c:v>2.6</c:v>
                </c:pt>
                <c:pt idx="8">
                  <c:v>2.8</c:v>
                </c:pt>
                <c:pt idx="9">
                  <c:v>3</c:v>
                </c:pt>
                <c:pt idx="10">
                  <c:v>3.2</c:v>
                </c:pt>
                <c:pt idx="11">
                  <c:v>3.4000000000000004</c:v>
                </c:pt>
                <c:pt idx="12">
                  <c:v>3.6000000000000005</c:v>
                </c:pt>
                <c:pt idx="13">
                  <c:v>3.8</c:v>
                </c:pt>
                <c:pt idx="14">
                  <c:v>4</c:v>
                </c:pt>
                <c:pt idx="15">
                  <c:v>4.2</c:v>
                </c:pt>
                <c:pt idx="16">
                  <c:v>4.4000000000000004</c:v>
                </c:pt>
                <c:pt idx="17">
                  <c:v>4.6000000000000005</c:v>
                </c:pt>
                <c:pt idx="18">
                  <c:v>4.8</c:v>
                </c:pt>
                <c:pt idx="19">
                  <c:v>5</c:v>
                </c:pt>
                <c:pt idx="20">
                  <c:v>5.2</c:v>
                </c:pt>
                <c:pt idx="21">
                  <c:v>5.4</c:v>
                </c:pt>
                <c:pt idx="22">
                  <c:v>5.6000000000000005</c:v>
                </c:pt>
                <c:pt idx="23">
                  <c:v>5.8000000000000007</c:v>
                </c:pt>
                <c:pt idx="24">
                  <c:v>6.0000000000000009</c:v>
                </c:pt>
                <c:pt idx="25">
                  <c:v>6.2</c:v>
                </c:pt>
                <c:pt idx="26">
                  <c:v>6.4</c:v>
                </c:pt>
                <c:pt idx="27">
                  <c:v>6.6000000000000005</c:v>
                </c:pt>
                <c:pt idx="28">
                  <c:v>6.8000000000000007</c:v>
                </c:pt>
                <c:pt idx="29">
                  <c:v>7.0000000000000009</c:v>
                </c:pt>
                <c:pt idx="30">
                  <c:v>7.2</c:v>
                </c:pt>
                <c:pt idx="31">
                  <c:v>7.4</c:v>
                </c:pt>
              </c:numCache>
            </c:numRef>
          </c:cat>
          <c:val>
            <c:numRef>
              <c:f>Результат!$B$21:$AG$21</c:f>
              <c:numCache>
                <c:formatCode>General</c:formatCode>
                <c:ptCount val="32"/>
                <c:pt idx="0">
                  <c:v>346819</c:v>
                </c:pt>
                <c:pt idx="1">
                  <c:v>310615</c:v>
                </c:pt>
                <c:pt idx="2">
                  <c:v>281386</c:v>
                </c:pt>
                <c:pt idx="3">
                  <c:v>257313</c:v>
                </c:pt>
                <c:pt idx="4">
                  <c:v>237161</c:v>
                </c:pt>
                <c:pt idx="5">
                  <c:v>220057</c:v>
                </c:pt>
                <c:pt idx="6">
                  <c:v>205372</c:v>
                </c:pt>
                <c:pt idx="7">
                  <c:v>192638</c:v>
                </c:pt>
                <c:pt idx="8">
                  <c:v>181499</c:v>
                </c:pt>
                <c:pt idx="9">
                  <c:v>171683</c:v>
                </c:pt>
                <c:pt idx="10">
                  <c:v>162975</c:v>
                </c:pt>
                <c:pt idx="11">
                  <c:v>155205</c:v>
                </c:pt>
                <c:pt idx="12">
                  <c:v>148236</c:v>
                </c:pt>
                <c:pt idx="13">
                  <c:v>141956</c:v>
                </c:pt>
                <c:pt idx="14">
                  <c:v>136275</c:v>
                </c:pt>
                <c:pt idx="15">
                  <c:v>131115</c:v>
                </c:pt>
                <c:pt idx="16">
                  <c:v>126413</c:v>
                </c:pt>
                <c:pt idx="17">
                  <c:v>122116</c:v>
                </c:pt>
                <c:pt idx="18">
                  <c:v>118178</c:v>
                </c:pt>
                <c:pt idx="19">
                  <c:v>114561</c:v>
                </c:pt>
                <c:pt idx="20">
                  <c:v>111232</c:v>
                </c:pt>
                <c:pt idx="21">
                  <c:v>108160</c:v>
                </c:pt>
                <c:pt idx="22">
                  <c:v>105323</c:v>
                </c:pt>
                <c:pt idx="23">
                  <c:v>102697</c:v>
                </c:pt>
                <c:pt idx="24">
                  <c:v>100264</c:v>
                </c:pt>
                <c:pt idx="25">
                  <c:v>98008</c:v>
                </c:pt>
                <c:pt idx="26">
                  <c:v>95912</c:v>
                </c:pt>
                <c:pt idx="27">
                  <c:v>93966</c:v>
                </c:pt>
                <c:pt idx="28">
                  <c:v>92156</c:v>
                </c:pt>
                <c:pt idx="29">
                  <c:v>90473</c:v>
                </c:pt>
                <c:pt idx="30">
                  <c:v>88907</c:v>
                </c:pt>
                <c:pt idx="31">
                  <c:v>87450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D5-47E1-8909-193633AAD10D}"/>
            </c:ext>
          </c:extLst>
        </c:ser>
        <c:ser>
          <c:idx val="2"/>
          <c:order val="2"/>
          <c:tx>
            <c:v>P_out - 0,4</c:v>
          </c:tx>
          <c:marker>
            <c:symbol val="none"/>
          </c:marker>
          <c:cat>
            <c:numRef>
              <c:f>Результат!$B$19:$AG$19</c:f>
              <c:numCache>
                <c:formatCode>General</c:formatCode>
                <c:ptCount val="32"/>
                <c:pt idx="0">
                  <c:v>1.2</c:v>
                </c:pt>
                <c:pt idx="1">
                  <c:v>1.4</c:v>
                </c:pt>
                <c:pt idx="2">
                  <c:v>1.6</c:v>
                </c:pt>
                <c:pt idx="3">
                  <c:v>1.8</c:v>
                </c:pt>
                <c:pt idx="4">
                  <c:v>2</c:v>
                </c:pt>
                <c:pt idx="5">
                  <c:v>2.2000000000000002</c:v>
                </c:pt>
                <c:pt idx="6">
                  <c:v>2.4000000000000004</c:v>
                </c:pt>
                <c:pt idx="7">
                  <c:v>2.6</c:v>
                </c:pt>
                <c:pt idx="8">
                  <c:v>2.8</c:v>
                </c:pt>
                <c:pt idx="9">
                  <c:v>3</c:v>
                </c:pt>
                <c:pt idx="10">
                  <c:v>3.2</c:v>
                </c:pt>
                <c:pt idx="11">
                  <c:v>3.4000000000000004</c:v>
                </c:pt>
                <c:pt idx="12">
                  <c:v>3.6000000000000005</c:v>
                </c:pt>
                <c:pt idx="13">
                  <c:v>3.8</c:v>
                </c:pt>
                <c:pt idx="14">
                  <c:v>4</c:v>
                </c:pt>
                <c:pt idx="15">
                  <c:v>4.2</c:v>
                </c:pt>
                <c:pt idx="16">
                  <c:v>4.4000000000000004</c:v>
                </c:pt>
                <c:pt idx="17">
                  <c:v>4.6000000000000005</c:v>
                </c:pt>
                <c:pt idx="18">
                  <c:v>4.8</c:v>
                </c:pt>
                <c:pt idx="19">
                  <c:v>5</c:v>
                </c:pt>
                <c:pt idx="20">
                  <c:v>5.2</c:v>
                </c:pt>
                <c:pt idx="21">
                  <c:v>5.4</c:v>
                </c:pt>
                <c:pt idx="22">
                  <c:v>5.6000000000000005</c:v>
                </c:pt>
                <c:pt idx="23">
                  <c:v>5.8000000000000007</c:v>
                </c:pt>
                <c:pt idx="24">
                  <c:v>6.0000000000000009</c:v>
                </c:pt>
                <c:pt idx="25">
                  <c:v>6.2</c:v>
                </c:pt>
                <c:pt idx="26">
                  <c:v>6.4</c:v>
                </c:pt>
                <c:pt idx="27">
                  <c:v>6.6000000000000005</c:v>
                </c:pt>
                <c:pt idx="28">
                  <c:v>6.8000000000000007</c:v>
                </c:pt>
                <c:pt idx="29">
                  <c:v>7.0000000000000009</c:v>
                </c:pt>
                <c:pt idx="30">
                  <c:v>7.2</c:v>
                </c:pt>
                <c:pt idx="31">
                  <c:v>7.4</c:v>
                </c:pt>
              </c:numCache>
            </c:numRef>
          </c:cat>
          <c:val>
            <c:numRef>
              <c:f>Результат!$B$22:$AG$22</c:f>
              <c:numCache>
                <c:formatCode>General</c:formatCode>
                <c:ptCount val="32"/>
                <c:pt idx="0">
                  <c:v>366878</c:v>
                </c:pt>
                <c:pt idx="1">
                  <c:v>326426</c:v>
                </c:pt>
                <c:pt idx="2">
                  <c:v>294148</c:v>
                </c:pt>
                <c:pt idx="3">
                  <c:v>267816</c:v>
                </c:pt>
                <c:pt idx="4">
                  <c:v>245943</c:v>
                </c:pt>
                <c:pt idx="5">
                  <c:v>227502</c:v>
                </c:pt>
                <c:pt idx="6">
                  <c:v>211756</c:v>
                </c:pt>
                <c:pt idx="7">
                  <c:v>198168</c:v>
                </c:pt>
                <c:pt idx="8">
                  <c:v>186331</c:v>
                </c:pt>
                <c:pt idx="9">
                  <c:v>175939</c:v>
                </c:pt>
                <c:pt idx="10">
                  <c:v>166749</c:v>
                </c:pt>
                <c:pt idx="11">
                  <c:v>158572</c:v>
                </c:pt>
                <c:pt idx="12">
                  <c:v>151257</c:v>
                </c:pt>
                <c:pt idx="13">
                  <c:v>144681</c:v>
                </c:pt>
                <c:pt idx="14">
                  <c:v>138742</c:v>
                </c:pt>
                <c:pt idx="15">
                  <c:v>133360</c:v>
                </c:pt>
                <c:pt idx="16">
                  <c:v>128463</c:v>
                </c:pt>
                <c:pt idx="17">
                  <c:v>123995</c:v>
                </c:pt>
                <c:pt idx="18">
                  <c:v>119906</c:v>
                </c:pt>
                <c:pt idx="19">
                  <c:v>116154</c:v>
                </c:pt>
                <c:pt idx="20">
                  <c:v>112704</c:v>
                </c:pt>
                <c:pt idx="21">
                  <c:v>109526</c:v>
                </c:pt>
                <c:pt idx="22">
                  <c:v>106592</c:v>
                </c:pt>
                <c:pt idx="23">
                  <c:v>103879</c:v>
                </c:pt>
                <c:pt idx="24">
                  <c:v>101368</c:v>
                </c:pt>
                <c:pt idx="25">
                  <c:v>99040</c:v>
                </c:pt>
                <c:pt idx="26">
                  <c:v>96880</c:v>
                </c:pt>
                <c:pt idx="27">
                  <c:v>94874</c:v>
                </c:pt>
                <c:pt idx="28">
                  <c:v>93010</c:v>
                </c:pt>
                <c:pt idx="29">
                  <c:v>91277</c:v>
                </c:pt>
                <c:pt idx="30">
                  <c:v>89666</c:v>
                </c:pt>
                <c:pt idx="31">
                  <c:v>88167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D5-47E1-8909-193633AAD10D}"/>
            </c:ext>
          </c:extLst>
        </c:ser>
        <c:ser>
          <c:idx val="3"/>
          <c:order val="3"/>
          <c:tx>
            <c:v>P_out - 0,5</c:v>
          </c:tx>
          <c:marker>
            <c:symbol val="none"/>
          </c:marker>
          <c:cat>
            <c:numRef>
              <c:f>Результат!$B$19:$AG$19</c:f>
              <c:numCache>
                <c:formatCode>General</c:formatCode>
                <c:ptCount val="32"/>
                <c:pt idx="0">
                  <c:v>1.2</c:v>
                </c:pt>
                <c:pt idx="1">
                  <c:v>1.4</c:v>
                </c:pt>
                <c:pt idx="2">
                  <c:v>1.6</c:v>
                </c:pt>
                <c:pt idx="3">
                  <c:v>1.8</c:v>
                </c:pt>
                <c:pt idx="4">
                  <c:v>2</c:v>
                </c:pt>
                <c:pt idx="5">
                  <c:v>2.2000000000000002</c:v>
                </c:pt>
                <c:pt idx="6">
                  <c:v>2.4000000000000004</c:v>
                </c:pt>
                <c:pt idx="7">
                  <c:v>2.6</c:v>
                </c:pt>
                <c:pt idx="8">
                  <c:v>2.8</c:v>
                </c:pt>
                <c:pt idx="9">
                  <c:v>3</c:v>
                </c:pt>
                <c:pt idx="10">
                  <c:v>3.2</c:v>
                </c:pt>
                <c:pt idx="11">
                  <c:v>3.4000000000000004</c:v>
                </c:pt>
                <c:pt idx="12">
                  <c:v>3.6000000000000005</c:v>
                </c:pt>
                <c:pt idx="13">
                  <c:v>3.8</c:v>
                </c:pt>
                <c:pt idx="14">
                  <c:v>4</c:v>
                </c:pt>
                <c:pt idx="15">
                  <c:v>4.2</c:v>
                </c:pt>
                <c:pt idx="16">
                  <c:v>4.4000000000000004</c:v>
                </c:pt>
                <c:pt idx="17">
                  <c:v>4.6000000000000005</c:v>
                </c:pt>
                <c:pt idx="18">
                  <c:v>4.8</c:v>
                </c:pt>
                <c:pt idx="19">
                  <c:v>5</c:v>
                </c:pt>
                <c:pt idx="20">
                  <c:v>5.2</c:v>
                </c:pt>
                <c:pt idx="21">
                  <c:v>5.4</c:v>
                </c:pt>
                <c:pt idx="22">
                  <c:v>5.6000000000000005</c:v>
                </c:pt>
                <c:pt idx="23">
                  <c:v>5.8000000000000007</c:v>
                </c:pt>
                <c:pt idx="24">
                  <c:v>6.0000000000000009</c:v>
                </c:pt>
                <c:pt idx="25">
                  <c:v>6.2</c:v>
                </c:pt>
                <c:pt idx="26">
                  <c:v>6.4</c:v>
                </c:pt>
                <c:pt idx="27">
                  <c:v>6.6000000000000005</c:v>
                </c:pt>
                <c:pt idx="28">
                  <c:v>6.8000000000000007</c:v>
                </c:pt>
                <c:pt idx="29">
                  <c:v>7.0000000000000009</c:v>
                </c:pt>
                <c:pt idx="30">
                  <c:v>7.2</c:v>
                </c:pt>
                <c:pt idx="31">
                  <c:v>7.4</c:v>
                </c:pt>
              </c:numCache>
            </c:numRef>
          </c:cat>
          <c:val>
            <c:numRef>
              <c:f>Результат!$B$23:$AG$23</c:f>
              <c:numCache>
                <c:formatCode>General</c:formatCode>
                <c:ptCount val="32"/>
                <c:pt idx="0">
                  <c:v>389596</c:v>
                </c:pt>
                <c:pt idx="1">
                  <c:v>344084</c:v>
                </c:pt>
                <c:pt idx="2">
                  <c:v>308241</c:v>
                </c:pt>
                <c:pt idx="3">
                  <c:v>279307</c:v>
                </c:pt>
                <c:pt idx="4">
                  <c:v>255479</c:v>
                </c:pt>
                <c:pt idx="5">
                  <c:v>235532</c:v>
                </c:pt>
                <c:pt idx="6">
                  <c:v>218604</c:v>
                </c:pt>
                <c:pt idx="7">
                  <c:v>204071</c:v>
                </c:pt>
                <c:pt idx="8">
                  <c:v>191468</c:v>
                </c:pt>
                <c:pt idx="9">
                  <c:v>180445</c:v>
                </c:pt>
                <c:pt idx="10">
                  <c:v>170731</c:v>
                </c:pt>
                <c:pt idx="11">
                  <c:v>162115</c:v>
                </c:pt>
                <c:pt idx="12">
                  <c:v>154427</c:v>
                </c:pt>
                <c:pt idx="13">
                  <c:v>147532</c:v>
                </c:pt>
                <c:pt idx="14">
                  <c:v>141320</c:v>
                </c:pt>
                <c:pt idx="15">
                  <c:v>135699</c:v>
                </c:pt>
                <c:pt idx="16">
                  <c:v>130595</c:v>
                </c:pt>
                <c:pt idx="17">
                  <c:v>125945</c:v>
                </c:pt>
                <c:pt idx="18">
                  <c:v>121696</c:v>
                </c:pt>
                <c:pt idx="19">
                  <c:v>117802</c:v>
                </c:pt>
                <c:pt idx="20">
                  <c:v>114226</c:v>
                </c:pt>
                <c:pt idx="21">
                  <c:v>110935</c:v>
                </c:pt>
                <c:pt idx="22">
                  <c:v>107900</c:v>
                </c:pt>
                <c:pt idx="23">
                  <c:v>105097</c:v>
                </c:pt>
                <c:pt idx="24">
                  <c:v>102503</c:v>
                </c:pt>
                <c:pt idx="25">
                  <c:v>100101</c:v>
                </c:pt>
                <c:pt idx="26">
                  <c:v>97873</c:v>
                </c:pt>
                <c:pt idx="27">
                  <c:v>95805</c:v>
                </c:pt>
                <c:pt idx="28">
                  <c:v>93885</c:v>
                </c:pt>
                <c:pt idx="29">
                  <c:v>92101</c:v>
                </c:pt>
                <c:pt idx="30">
                  <c:v>90442</c:v>
                </c:pt>
                <c:pt idx="31">
                  <c:v>88900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DD5-47E1-8909-193633AAD10D}"/>
            </c:ext>
          </c:extLst>
        </c:ser>
        <c:ser>
          <c:idx val="4"/>
          <c:order val="4"/>
          <c:tx>
            <c:v>P_out - 0,6</c:v>
          </c:tx>
          <c:marker>
            <c:symbol val="none"/>
          </c:marker>
          <c:cat>
            <c:numRef>
              <c:f>Результат!$B$19:$AG$19</c:f>
              <c:numCache>
                <c:formatCode>General</c:formatCode>
                <c:ptCount val="32"/>
                <c:pt idx="0">
                  <c:v>1.2</c:v>
                </c:pt>
                <c:pt idx="1">
                  <c:v>1.4</c:v>
                </c:pt>
                <c:pt idx="2">
                  <c:v>1.6</c:v>
                </c:pt>
                <c:pt idx="3">
                  <c:v>1.8</c:v>
                </c:pt>
                <c:pt idx="4">
                  <c:v>2</c:v>
                </c:pt>
                <c:pt idx="5">
                  <c:v>2.2000000000000002</c:v>
                </c:pt>
                <c:pt idx="6">
                  <c:v>2.4000000000000004</c:v>
                </c:pt>
                <c:pt idx="7">
                  <c:v>2.6</c:v>
                </c:pt>
                <c:pt idx="8">
                  <c:v>2.8</c:v>
                </c:pt>
                <c:pt idx="9">
                  <c:v>3</c:v>
                </c:pt>
                <c:pt idx="10">
                  <c:v>3.2</c:v>
                </c:pt>
                <c:pt idx="11">
                  <c:v>3.4000000000000004</c:v>
                </c:pt>
                <c:pt idx="12">
                  <c:v>3.6000000000000005</c:v>
                </c:pt>
                <c:pt idx="13">
                  <c:v>3.8</c:v>
                </c:pt>
                <c:pt idx="14">
                  <c:v>4</c:v>
                </c:pt>
                <c:pt idx="15">
                  <c:v>4.2</c:v>
                </c:pt>
                <c:pt idx="16">
                  <c:v>4.4000000000000004</c:v>
                </c:pt>
                <c:pt idx="17">
                  <c:v>4.6000000000000005</c:v>
                </c:pt>
                <c:pt idx="18">
                  <c:v>4.8</c:v>
                </c:pt>
                <c:pt idx="19">
                  <c:v>5</c:v>
                </c:pt>
                <c:pt idx="20">
                  <c:v>5.2</c:v>
                </c:pt>
                <c:pt idx="21">
                  <c:v>5.4</c:v>
                </c:pt>
                <c:pt idx="22">
                  <c:v>5.6000000000000005</c:v>
                </c:pt>
                <c:pt idx="23">
                  <c:v>5.8000000000000007</c:v>
                </c:pt>
                <c:pt idx="24">
                  <c:v>6.0000000000000009</c:v>
                </c:pt>
                <c:pt idx="25">
                  <c:v>6.2</c:v>
                </c:pt>
                <c:pt idx="26">
                  <c:v>6.4</c:v>
                </c:pt>
                <c:pt idx="27">
                  <c:v>6.6000000000000005</c:v>
                </c:pt>
                <c:pt idx="28">
                  <c:v>6.8000000000000007</c:v>
                </c:pt>
                <c:pt idx="29">
                  <c:v>7.0000000000000009</c:v>
                </c:pt>
                <c:pt idx="30">
                  <c:v>7.2</c:v>
                </c:pt>
                <c:pt idx="31">
                  <c:v>7.4</c:v>
                </c:pt>
              </c:numCache>
            </c:numRef>
          </c:cat>
          <c:val>
            <c:numRef>
              <c:f>Результат!$B$24:$AG$24</c:f>
              <c:numCache>
                <c:formatCode>General</c:formatCode>
                <c:ptCount val="32"/>
                <c:pt idx="0">
                  <c:v>415543</c:v>
                </c:pt>
                <c:pt idx="1">
                  <c:v>363934</c:v>
                </c:pt>
                <c:pt idx="2">
                  <c:v>323887</c:v>
                </c:pt>
                <c:pt idx="3">
                  <c:v>291935</c:v>
                </c:pt>
                <c:pt idx="4">
                  <c:v>265871</c:v>
                </c:pt>
                <c:pt idx="5">
                  <c:v>244222</c:v>
                </c:pt>
                <c:pt idx="6">
                  <c:v>225970</c:v>
                </c:pt>
                <c:pt idx="7">
                  <c:v>210387</c:v>
                </c:pt>
                <c:pt idx="8">
                  <c:v>196939</c:v>
                </c:pt>
                <c:pt idx="9">
                  <c:v>185226</c:v>
                </c:pt>
                <c:pt idx="10">
                  <c:v>174942</c:v>
                </c:pt>
                <c:pt idx="11">
                  <c:v>165848</c:v>
                </c:pt>
                <c:pt idx="12">
                  <c:v>157758</c:v>
                </c:pt>
                <c:pt idx="13">
                  <c:v>150520</c:v>
                </c:pt>
                <c:pt idx="14">
                  <c:v>144014</c:v>
                </c:pt>
                <c:pt idx="15">
                  <c:v>138140</c:v>
                </c:pt>
                <c:pt idx="16">
                  <c:v>132815</c:v>
                </c:pt>
                <c:pt idx="17">
                  <c:v>127972</c:v>
                </c:pt>
                <c:pt idx="18">
                  <c:v>123553</c:v>
                </c:pt>
                <c:pt idx="19">
                  <c:v>119510</c:v>
                </c:pt>
                <c:pt idx="20">
                  <c:v>115801</c:v>
                </c:pt>
                <c:pt idx="21">
                  <c:v>112391</c:v>
                </c:pt>
                <c:pt idx="22">
                  <c:v>109250</c:v>
                </c:pt>
                <c:pt idx="23">
                  <c:v>106351</c:v>
                </c:pt>
                <c:pt idx="24">
                  <c:v>103671</c:v>
                </c:pt>
                <c:pt idx="25">
                  <c:v>101191</c:v>
                </c:pt>
                <c:pt idx="26">
                  <c:v>98893</c:v>
                </c:pt>
                <c:pt idx="27">
                  <c:v>96761</c:v>
                </c:pt>
                <c:pt idx="28">
                  <c:v>94782</c:v>
                </c:pt>
                <c:pt idx="29">
                  <c:v>92944</c:v>
                </c:pt>
                <c:pt idx="30">
                  <c:v>91236</c:v>
                </c:pt>
                <c:pt idx="31">
                  <c:v>89649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DD5-47E1-8909-193633AAD10D}"/>
            </c:ext>
          </c:extLst>
        </c:ser>
        <c:ser>
          <c:idx val="5"/>
          <c:order val="5"/>
          <c:tx>
            <c:v>P_out - 0,7</c:v>
          </c:tx>
          <c:marker>
            <c:symbol val="none"/>
          </c:marker>
          <c:cat>
            <c:numRef>
              <c:f>Результат!$B$19:$AG$19</c:f>
              <c:numCache>
                <c:formatCode>General</c:formatCode>
                <c:ptCount val="32"/>
                <c:pt idx="0">
                  <c:v>1.2</c:v>
                </c:pt>
                <c:pt idx="1">
                  <c:v>1.4</c:v>
                </c:pt>
                <c:pt idx="2">
                  <c:v>1.6</c:v>
                </c:pt>
                <c:pt idx="3">
                  <c:v>1.8</c:v>
                </c:pt>
                <c:pt idx="4">
                  <c:v>2</c:v>
                </c:pt>
                <c:pt idx="5">
                  <c:v>2.2000000000000002</c:v>
                </c:pt>
                <c:pt idx="6">
                  <c:v>2.4000000000000004</c:v>
                </c:pt>
                <c:pt idx="7">
                  <c:v>2.6</c:v>
                </c:pt>
                <c:pt idx="8">
                  <c:v>2.8</c:v>
                </c:pt>
                <c:pt idx="9">
                  <c:v>3</c:v>
                </c:pt>
                <c:pt idx="10">
                  <c:v>3.2</c:v>
                </c:pt>
                <c:pt idx="11">
                  <c:v>3.4000000000000004</c:v>
                </c:pt>
                <c:pt idx="12">
                  <c:v>3.6000000000000005</c:v>
                </c:pt>
                <c:pt idx="13">
                  <c:v>3.8</c:v>
                </c:pt>
                <c:pt idx="14">
                  <c:v>4</c:v>
                </c:pt>
                <c:pt idx="15">
                  <c:v>4.2</c:v>
                </c:pt>
                <c:pt idx="16">
                  <c:v>4.4000000000000004</c:v>
                </c:pt>
                <c:pt idx="17">
                  <c:v>4.6000000000000005</c:v>
                </c:pt>
                <c:pt idx="18">
                  <c:v>4.8</c:v>
                </c:pt>
                <c:pt idx="19">
                  <c:v>5</c:v>
                </c:pt>
                <c:pt idx="20">
                  <c:v>5.2</c:v>
                </c:pt>
                <c:pt idx="21">
                  <c:v>5.4</c:v>
                </c:pt>
                <c:pt idx="22">
                  <c:v>5.6000000000000005</c:v>
                </c:pt>
                <c:pt idx="23">
                  <c:v>5.8000000000000007</c:v>
                </c:pt>
                <c:pt idx="24">
                  <c:v>6.0000000000000009</c:v>
                </c:pt>
                <c:pt idx="25">
                  <c:v>6.2</c:v>
                </c:pt>
                <c:pt idx="26">
                  <c:v>6.4</c:v>
                </c:pt>
                <c:pt idx="27">
                  <c:v>6.6000000000000005</c:v>
                </c:pt>
                <c:pt idx="28">
                  <c:v>6.8000000000000007</c:v>
                </c:pt>
                <c:pt idx="29">
                  <c:v>7.0000000000000009</c:v>
                </c:pt>
                <c:pt idx="30">
                  <c:v>7.2</c:v>
                </c:pt>
                <c:pt idx="31">
                  <c:v>7.4</c:v>
                </c:pt>
              </c:numCache>
            </c:numRef>
          </c:cat>
          <c:val>
            <c:numRef>
              <c:f>Результат!$B$25:$AG$25</c:f>
              <c:numCache>
                <c:formatCode>General</c:formatCode>
                <c:ptCount val="32"/>
                <c:pt idx="0">
                  <c:v>445464</c:v>
                </c:pt>
                <c:pt idx="1">
                  <c:v>386414</c:v>
                </c:pt>
                <c:pt idx="2">
                  <c:v>341359</c:v>
                </c:pt>
                <c:pt idx="3">
                  <c:v>305880</c:v>
                </c:pt>
                <c:pt idx="4">
                  <c:v>277241</c:v>
                </c:pt>
                <c:pt idx="5">
                  <c:v>253658</c:v>
                </c:pt>
                <c:pt idx="6">
                  <c:v>233916</c:v>
                </c:pt>
                <c:pt idx="7">
                  <c:v>217163</c:v>
                </c:pt>
                <c:pt idx="8">
                  <c:v>202780</c:v>
                </c:pt>
                <c:pt idx="9">
                  <c:v>190308</c:v>
                </c:pt>
                <c:pt idx="10">
                  <c:v>179401</c:v>
                </c:pt>
                <c:pt idx="11">
                  <c:v>169789</c:v>
                </c:pt>
                <c:pt idx="12">
                  <c:v>161263</c:v>
                </c:pt>
                <c:pt idx="13">
                  <c:v>153656</c:v>
                </c:pt>
                <c:pt idx="14">
                  <c:v>146835</c:v>
                </c:pt>
                <c:pt idx="15">
                  <c:v>140689</c:v>
                </c:pt>
                <c:pt idx="16">
                  <c:v>135129</c:v>
                </c:pt>
                <c:pt idx="17">
                  <c:v>130081</c:v>
                </c:pt>
                <c:pt idx="18">
                  <c:v>125482</c:v>
                </c:pt>
                <c:pt idx="19">
                  <c:v>121280</c:v>
                </c:pt>
                <c:pt idx="20">
                  <c:v>117431</c:v>
                </c:pt>
                <c:pt idx="21">
                  <c:v>113896</c:v>
                </c:pt>
                <c:pt idx="22">
                  <c:v>110643</c:v>
                </c:pt>
                <c:pt idx="23">
                  <c:v>107644</c:v>
                </c:pt>
                <c:pt idx="24">
                  <c:v>104874</c:v>
                </c:pt>
                <c:pt idx="25">
                  <c:v>102313</c:v>
                </c:pt>
                <c:pt idx="26">
                  <c:v>99941</c:v>
                </c:pt>
                <c:pt idx="27">
                  <c:v>97742</c:v>
                </c:pt>
                <c:pt idx="28">
                  <c:v>95702</c:v>
                </c:pt>
                <c:pt idx="29">
                  <c:v>93808</c:v>
                </c:pt>
                <c:pt idx="30">
                  <c:v>92049</c:v>
                </c:pt>
                <c:pt idx="31">
                  <c:v>90415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DD5-47E1-8909-193633AAD10D}"/>
            </c:ext>
          </c:extLst>
        </c:ser>
        <c:ser>
          <c:idx val="6"/>
          <c:order val="6"/>
          <c:tx>
            <c:v>P_out - 0,8</c:v>
          </c:tx>
          <c:marker>
            <c:symbol val="none"/>
          </c:marker>
          <c:cat>
            <c:numRef>
              <c:f>Результат!$B$19:$AG$19</c:f>
              <c:numCache>
                <c:formatCode>General</c:formatCode>
                <c:ptCount val="32"/>
                <c:pt idx="0">
                  <c:v>1.2</c:v>
                </c:pt>
                <c:pt idx="1">
                  <c:v>1.4</c:v>
                </c:pt>
                <c:pt idx="2">
                  <c:v>1.6</c:v>
                </c:pt>
                <c:pt idx="3">
                  <c:v>1.8</c:v>
                </c:pt>
                <c:pt idx="4">
                  <c:v>2</c:v>
                </c:pt>
                <c:pt idx="5">
                  <c:v>2.2000000000000002</c:v>
                </c:pt>
                <c:pt idx="6">
                  <c:v>2.4000000000000004</c:v>
                </c:pt>
                <c:pt idx="7">
                  <c:v>2.6</c:v>
                </c:pt>
                <c:pt idx="8">
                  <c:v>2.8</c:v>
                </c:pt>
                <c:pt idx="9">
                  <c:v>3</c:v>
                </c:pt>
                <c:pt idx="10">
                  <c:v>3.2</c:v>
                </c:pt>
                <c:pt idx="11">
                  <c:v>3.4000000000000004</c:v>
                </c:pt>
                <c:pt idx="12">
                  <c:v>3.6000000000000005</c:v>
                </c:pt>
                <c:pt idx="13">
                  <c:v>3.8</c:v>
                </c:pt>
                <c:pt idx="14">
                  <c:v>4</c:v>
                </c:pt>
                <c:pt idx="15">
                  <c:v>4.2</c:v>
                </c:pt>
                <c:pt idx="16">
                  <c:v>4.4000000000000004</c:v>
                </c:pt>
                <c:pt idx="17">
                  <c:v>4.6000000000000005</c:v>
                </c:pt>
                <c:pt idx="18">
                  <c:v>4.8</c:v>
                </c:pt>
                <c:pt idx="19">
                  <c:v>5</c:v>
                </c:pt>
                <c:pt idx="20">
                  <c:v>5.2</c:v>
                </c:pt>
                <c:pt idx="21">
                  <c:v>5.4</c:v>
                </c:pt>
                <c:pt idx="22">
                  <c:v>5.6000000000000005</c:v>
                </c:pt>
                <c:pt idx="23">
                  <c:v>5.8000000000000007</c:v>
                </c:pt>
                <c:pt idx="24">
                  <c:v>6.0000000000000009</c:v>
                </c:pt>
                <c:pt idx="25">
                  <c:v>6.2</c:v>
                </c:pt>
                <c:pt idx="26">
                  <c:v>6.4</c:v>
                </c:pt>
                <c:pt idx="27">
                  <c:v>6.6000000000000005</c:v>
                </c:pt>
                <c:pt idx="28">
                  <c:v>6.8000000000000007</c:v>
                </c:pt>
                <c:pt idx="29">
                  <c:v>7.0000000000000009</c:v>
                </c:pt>
                <c:pt idx="30">
                  <c:v>7.2</c:v>
                </c:pt>
                <c:pt idx="31">
                  <c:v>7.4</c:v>
                </c:pt>
              </c:numCache>
            </c:numRef>
          </c:cat>
          <c:val>
            <c:numRef>
              <c:f>Результат!$B$26:$AG$26</c:f>
              <c:numCache>
                <c:formatCode>General</c:formatCode>
                <c:ptCount val="32"/>
                <c:pt idx="0">
                  <c:v>480351</c:v>
                </c:pt>
                <c:pt idx="1">
                  <c:v>412089</c:v>
                </c:pt>
                <c:pt idx="2">
                  <c:v>361000</c:v>
                </c:pt>
                <c:pt idx="3">
                  <c:v>321361</c:v>
                </c:pt>
                <c:pt idx="4">
                  <c:v>289737</c:v>
                </c:pt>
                <c:pt idx="5">
                  <c:v>263940</c:v>
                </c:pt>
                <c:pt idx="6">
                  <c:v>242515</c:v>
                </c:pt>
                <c:pt idx="7">
                  <c:v>224452</c:v>
                </c:pt>
                <c:pt idx="8">
                  <c:v>209030</c:v>
                </c:pt>
                <c:pt idx="9">
                  <c:v>195722</c:v>
                </c:pt>
                <c:pt idx="10">
                  <c:v>184131</c:v>
                </c:pt>
                <c:pt idx="11">
                  <c:v>173955</c:v>
                </c:pt>
                <c:pt idx="12">
                  <c:v>164957</c:v>
                </c:pt>
                <c:pt idx="13">
                  <c:v>156952</c:v>
                </c:pt>
                <c:pt idx="14">
                  <c:v>149792</c:v>
                </c:pt>
                <c:pt idx="15">
                  <c:v>143355</c:v>
                </c:pt>
                <c:pt idx="16">
                  <c:v>137544</c:v>
                </c:pt>
                <c:pt idx="17">
                  <c:v>132277</c:v>
                </c:pt>
                <c:pt idx="18">
                  <c:v>127487</c:v>
                </c:pt>
                <c:pt idx="19">
                  <c:v>123118</c:v>
                </c:pt>
                <c:pt idx="20">
                  <c:v>119120</c:v>
                </c:pt>
                <c:pt idx="21">
                  <c:v>115453</c:v>
                </c:pt>
                <c:pt idx="22">
                  <c:v>112083</c:v>
                </c:pt>
                <c:pt idx="23">
                  <c:v>108978</c:v>
                </c:pt>
                <c:pt idx="24">
                  <c:v>106114</c:v>
                </c:pt>
                <c:pt idx="25">
                  <c:v>103467</c:v>
                </c:pt>
                <c:pt idx="26">
                  <c:v>101018</c:v>
                </c:pt>
                <c:pt idx="27">
                  <c:v>98750</c:v>
                </c:pt>
                <c:pt idx="28">
                  <c:v>96646</c:v>
                </c:pt>
                <c:pt idx="29">
                  <c:v>94694</c:v>
                </c:pt>
                <c:pt idx="30">
                  <c:v>92882</c:v>
                </c:pt>
                <c:pt idx="31">
                  <c:v>91199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DD5-47E1-8909-193633AAD10D}"/>
            </c:ext>
          </c:extLst>
        </c:ser>
        <c:ser>
          <c:idx val="7"/>
          <c:order val="7"/>
          <c:tx>
            <c:v>P_out - 0,9</c:v>
          </c:tx>
          <c:marker>
            <c:symbol val="none"/>
          </c:marker>
          <c:cat>
            <c:numRef>
              <c:f>Результат!$B$19:$AG$19</c:f>
              <c:numCache>
                <c:formatCode>General</c:formatCode>
                <c:ptCount val="32"/>
                <c:pt idx="0">
                  <c:v>1.2</c:v>
                </c:pt>
                <c:pt idx="1">
                  <c:v>1.4</c:v>
                </c:pt>
                <c:pt idx="2">
                  <c:v>1.6</c:v>
                </c:pt>
                <c:pt idx="3">
                  <c:v>1.8</c:v>
                </c:pt>
                <c:pt idx="4">
                  <c:v>2</c:v>
                </c:pt>
                <c:pt idx="5">
                  <c:v>2.2000000000000002</c:v>
                </c:pt>
                <c:pt idx="6">
                  <c:v>2.4000000000000004</c:v>
                </c:pt>
                <c:pt idx="7">
                  <c:v>2.6</c:v>
                </c:pt>
                <c:pt idx="8">
                  <c:v>2.8</c:v>
                </c:pt>
                <c:pt idx="9">
                  <c:v>3</c:v>
                </c:pt>
                <c:pt idx="10">
                  <c:v>3.2</c:v>
                </c:pt>
                <c:pt idx="11">
                  <c:v>3.4000000000000004</c:v>
                </c:pt>
                <c:pt idx="12">
                  <c:v>3.6000000000000005</c:v>
                </c:pt>
                <c:pt idx="13">
                  <c:v>3.8</c:v>
                </c:pt>
                <c:pt idx="14">
                  <c:v>4</c:v>
                </c:pt>
                <c:pt idx="15">
                  <c:v>4.2</c:v>
                </c:pt>
                <c:pt idx="16">
                  <c:v>4.4000000000000004</c:v>
                </c:pt>
                <c:pt idx="17">
                  <c:v>4.6000000000000005</c:v>
                </c:pt>
                <c:pt idx="18">
                  <c:v>4.8</c:v>
                </c:pt>
                <c:pt idx="19">
                  <c:v>5</c:v>
                </c:pt>
                <c:pt idx="20">
                  <c:v>5.2</c:v>
                </c:pt>
                <c:pt idx="21">
                  <c:v>5.4</c:v>
                </c:pt>
                <c:pt idx="22">
                  <c:v>5.6000000000000005</c:v>
                </c:pt>
                <c:pt idx="23">
                  <c:v>5.8000000000000007</c:v>
                </c:pt>
                <c:pt idx="24">
                  <c:v>6.0000000000000009</c:v>
                </c:pt>
                <c:pt idx="25">
                  <c:v>6.2</c:v>
                </c:pt>
                <c:pt idx="26">
                  <c:v>6.4</c:v>
                </c:pt>
                <c:pt idx="27">
                  <c:v>6.6000000000000005</c:v>
                </c:pt>
                <c:pt idx="28">
                  <c:v>6.8000000000000007</c:v>
                </c:pt>
                <c:pt idx="29">
                  <c:v>7.0000000000000009</c:v>
                </c:pt>
                <c:pt idx="30">
                  <c:v>7.2</c:v>
                </c:pt>
                <c:pt idx="31">
                  <c:v>7.4</c:v>
                </c:pt>
              </c:numCache>
            </c:numRef>
          </c:cat>
          <c:val>
            <c:numRef>
              <c:f>Результат!$B$27:$AG$27</c:f>
              <c:numCache>
                <c:formatCode>General</c:formatCode>
                <c:ptCount val="32"/>
                <c:pt idx="0">
                  <c:v>521557</c:v>
                </c:pt>
                <c:pt idx="1">
                  <c:v>441693</c:v>
                </c:pt>
                <c:pt idx="2">
                  <c:v>383244</c:v>
                </c:pt>
                <c:pt idx="3">
                  <c:v>338650</c:v>
                </c:pt>
                <c:pt idx="4">
                  <c:v>303535</c:v>
                </c:pt>
                <c:pt idx="5">
                  <c:v>275191</c:v>
                </c:pt>
                <c:pt idx="6">
                  <c:v>251851</c:v>
                </c:pt>
                <c:pt idx="7">
                  <c:v>232315</c:v>
                </c:pt>
                <c:pt idx="8">
                  <c:v>215735</c:v>
                </c:pt>
                <c:pt idx="9">
                  <c:v>201502</c:v>
                </c:pt>
                <c:pt idx="10">
                  <c:v>189161</c:v>
                </c:pt>
                <c:pt idx="11">
                  <c:v>178367</c:v>
                </c:pt>
                <c:pt idx="12">
                  <c:v>168857</c:v>
                </c:pt>
                <c:pt idx="13">
                  <c:v>160421</c:v>
                </c:pt>
                <c:pt idx="14">
                  <c:v>152895</c:v>
                </c:pt>
                <c:pt idx="15">
                  <c:v>146146</c:v>
                </c:pt>
                <c:pt idx="16">
                  <c:v>140067</c:v>
                </c:pt>
                <c:pt idx="17">
                  <c:v>134567</c:v>
                </c:pt>
                <c:pt idx="18">
                  <c:v>129574</c:v>
                </c:pt>
                <c:pt idx="19">
                  <c:v>125026</c:v>
                </c:pt>
                <c:pt idx="20">
                  <c:v>120871</c:v>
                </c:pt>
                <c:pt idx="21">
                  <c:v>117065</c:v>
                </c:pt>
                <c:pt idx="22">
                  <c:v>113571</c:v>
                </c:pt>
                <c:pt idx="23">
                  <c:v>110356</c:v>
                </c:pt>
                <c:pt idx="24">
                  <c:v>107393</c:v>
                </c:pt>
                <c:pt idx="25">
                  <c:v>104657</c:v>
                </c:pt>
                <c:pt idx="26">
                  <c:v>102127</c:v>
                </c:pt>
                <c:pt idx="27">
                  <c:v>99785</c:v>
                </c:pt>
                <c:pt idx="28">
                  <c:v>97616</c:v>
                </c:pt>
                <c:pt idx="29">
                  <c:v>95603</c:v>
                </c:pt>
                <c:pt idx="30">
                  <c:v>93736</c:v>
                </c:pt>
                <c:pt idx="31">
                  <c:v>92002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DD5-47E1-8909-193633AAD10D}"/>
            </c:ext>
          </c:extLst>
        </c:ser>
        <c:ser>
          <c:idx val="8"/>
          <c:order val="8"/>
          <c:tx>
            <c:v>P_out - 1</c:v>
          </c:tx>
          <c:marker>
            <c:symbol val="none"/>
          </c:marker>
          <c:cat>
            <c:numRef>
              <c:f>Результат!$B$19:$AG$19</c:f>
              <c:numCache>
                <c:formatCode>General</c:formatCode>
                <c:ptCount val="32"/>
                <c:pt idx="0">
                  <c:v>1.2</c:v>
                </c:pt>
                <c:pt idx="1">
                  <c:v>1.4</c:v>
                </c:pt>
                <c:pt idx="2">
                  <c:v>1.6</c:v>
                </c:pt>
                <c:pt idx="3">
                  <c:v>1.8</c:v>
                </c:pt>
                <c:pt idx="4">
                  <c:v>2</c:v>
                </c:pt>
                <c:pt idx="5">
                  <c:v>2.2000000000000002</c:v>
                </c:pt>
                <c:pt idx="6">
                  <c:v>2.4000000000000004</c:v>
                </c:pt>
                <c:pt idx="7">
                  <c:v>2.6</c:v>
                </c:pt>
                <c:pt idx="8">
                  <c:v>2.8</c:v>
                </c:pt>
                <c:pt idx="9">
                  <c:v>3</c:v>
                </c:pt>
                <c:pt idx="10">
                  <c:v>3.2</c:v>
                </c:pt>
                <c:pt idx="11">
                  <c:v>3.4000000000000004</c:v>
                </c:pt>
                <c:pt idx="12">
                  <c:v>3.6000000000000005</c:v>
                </c:pt>
                <c:pt idx="13">
                  <c:v>3.8</c:v>
                </c:pt>
                <c:pt idx="14">
                  <c:v>4</c:v>
                </c:pt>
                <c:pt idx="15">
                  <c:v>4.2</c:v>
                </c:pt>
                <c:pt idx="16">
                  <c:v>4.4000000000000004</c:v>
                </c:pt>
                <c:pt idx="17">
                  <c:v>4.6000000000000005</c:v>
                </c:pt>
                <c:pt idx="18">
                  <c:v>4.8</c:v>
                </c:pt>
                <c:pt idx="19">
                  <c:v>5</c:v>
                </c:pt>
                <c:pt idx="20">
                  <c:v>5.2</c:v>
                </c:pt>
                <c:pt idx="21">
                  <c:v>5.4</c:v>
                </c:pt>
                <c:pt idx="22">
                  <c:v>5.6000000000000005</c:v>
                </c:pt>
                <c:pt idx="23">
                  <c:v>5.8000000000000007</c:v>
                </c:pt>
                <c:pt idx="24">
                  <c:v>6.0000000000000009</c:v>
                </c:pt>
                <c:pt idx="25">
                  <c:v>6.2</c:v>
                </c:pt>
                <c:pt idx="26">
                  <c:v>6.4</c:v>
                </c:pt>
                <c:pt idx="27">
                  <c:v>6.6000000000000005</c:v>
                </c:pt>
                <c:pt idx="28">
                  <c:v>6.8000000000000007</c:v>
                </c:pt>
                <c:pt idx="29">
                  <c:v>7.0000000000000009</c:v>
                </c:pt>
                <c:pt idx="30">
                  <c:v>7.2</c:v>
                </c:pt>
                <c:pt idx="31">
                  <c:v>7.4</c:v>
                </c:pt>
              </c:numCache>
            </c:numRef>
          </c:cat>
          <c:val>
            <c:numRef>
              <c:f>Результат!$B$28:$AG$28</c:f>
              <c:numCache>
                <c:formatCode>General</c:formatCode>
                <c:ptCount val="32"/>
                <c:pt idx="0">
                  <c:v>570976</c:v>
                </c:pt>
                <c:pt idx="1">
                  <c:v>476209</c:v>
                </c:pt>
                <c:pt idx="2">
                  <c:v>408646</c:v>
                </c:pt>
                <c:pt idx="3">
                  <c:v>358083</c:v>
                </c:pt>
                <c:pt idx="4">
                  <c:v>318853</c:v>
                </c:pt>
                <c:pt idx="5">
                  <c:v>287555</c:v>
                </c:pt>
                <c:pt idx="6">
                  <c:v>262026</c:v>
                </c:pt>
                <c:pt idx="7">
                  <c:v>240824</c:v>
                </c:pt>
                <c:pt idx="8">
                  <c:v>222948</c:v>
                </c:pt>
                <c:pt idx="9">
                  <c:v>207688</c:v>
                </c:pt>
                <c:pt idx="10">
                  <c:v>194519</c:v>
                </c:pt>
                <c:pt idx="11">
                  <c:v>183049</c:v>
                </c:pt>
                <c:pt idx="12">
                  <c:v>172980</c:v>
                </c:pt>
                <c:pt idx="13">
                  <c:v>164077</c:v>
                </c:pt>
                <c:pt idx="14">
                  <c:v>156157</c:v>
                </c:pt>
                <c:pt idx="15">
                  <c:v>149073</c:v>
                </c:pt>
                <c:pt idx="16">
                  <c:v>142705</c:v>
                </c:pt>
                <c:pt idx="17">
                  <c:v>136957</c:v>
                </c:pt>
                <c:pt idx="18">
                  <c:v>131748</c:v>
                </c:pt>
                <c:pt idx="19">
                  <c:v>127010</c:v>
                </c:pt>
                <c:pt idx="20">
                  <c:v>122689</c:v>
                </c:pt>
                <c:pt idx="21">
                  <c:v>118736</c:v>
                </c:pt>
                <c:pt idx="22">
                  <c:v>115112</c:v>
                </c:pt>
                <c:pt idx="23">
                  <c:v>111780</c:v>
                </c:pt>
                <c:pt idx="24">
                  <c:v>108713</c:v>
                </c:pt>
                <c:pt idx="25">
                  <c:v>105883</c:v>
                </c:pt>
                <c:pt idx="26">
                  <c:v>103269</c:v>
                </c:pt>
                <c:pt idx="27">
                  <c:v>100851</c:v>
                </c:pt>
                <c:pt idx="28">
                  <c:v>98612</c:v>
                </c:pt>
                <c:pt idx="29">
                  <c:v>96536</c:v>
                </c:pt>
                <c:pt idx="30">
                  <c:v>94611</c:v>
                </c:pt>
                <c:pt idx="31">
                  <c:v>92825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DD5-47E1-8909-193633AAD10D}"/>
            </c:ext>
          </c:extLst>
        </c:ser>
        <c:ser>
          <c:idx val="9"/>
          <c:order val="9"/>
          <c:tx>
            <c:v>P_out - 1,1</c:v>
          </c:tx>
          <c:marker>
            <c:symbol val="none"/>
          </c:marker>
          <c:cat>
            <c:numRef>
              <c:f>Результат!$B$19:$AG$19</c:f>
              <c:numCache>
                <c:formatCode>General</c:formatCode>
                <c:ptCount val="32"/>
                <c:pt idx="0">
                  <c:v>1.2</c:v>
                </c:pt>
                <c:pt idx="1">
                  <c:v>1.4</c:v>
                </c:pt>
                <c:pt idx="2">
                  <c:v>1.6</c:v>
                </c:pt>
                <c:pt idx="3">
                  <c:v>1.8</c:v>
                </c:pt>
                <c:pt idx="4">
                  <c:v>2</c:v>
                </c:pt>
                <c:pt idx="5">
                  <c:v>2.2000000000000002</c:v>
                </c:pt>
                <c:pt idx="6">
                  <c:v>2.4000000000000004</c:v>
                </c:pt>
                <c:pt idx="7">
                  <c:v>2.6</c:v>
                </c:pt>
                <c:pt idx="8">
                  <c:v>2.8</c:v>
                </c:pt>
                <c:pt idx="9">
                  <c:v>3</c:v>
                </c:pt>
                <c:pt idx="10">
                  <c:v>3.2</c:v>
                </c:pt>
                <c:pt idx="11">
                  <c:v>3.4000000000000004</c:v>
                </c:pt>
                <c:pt idx="12">
                  <c:v>3.6000000000000005</c:v>
                </c:pt>
                <c:pt idx="13">
                  <c:v>3.8</c:v>
                </c:pt>
                <c:pt idx="14">
                  <c:v>4</c:v>
                </c:pt>
                <c:pt idx="15">
                  <c:v>4.2</c:v>
                </c:pt>
                <c:pt idx="16">
                  <c:v>4.4000000000000004</c:v>
                </c:pt>
                <c:pt idx="17">
                  <c:v>4.6000000000000005</c:v>
                </c:pt>
                <c:pt idx="18">
                  <c:v>4.8</c:v>
                </c:pt>
                <c:pt idx="19">
                  <c:v>5</c:v>
                </c:pt>
                <c:pt idx="20">
                  <c:v>5.2</c:v>
                </c:pt>
                <c:pt idx="21">
                  <c:v>5.4</c:v>
                </c:pt>
                <c:pt idx="22">
                  <c:v>5.6000000000000005</c:v>
                </c:pt>
                <c:pt idx="23">
                  <c:v>5.8000000000000007</c:v>
                </c:pt>
                <c:pt idx="24">
                  <c:v>6.0000000000000009</c:v>
                </c:pt>
                <c:pt idx="25">
                  <c:v>6.2</c:v>
                </c:pt>
                <c:pt idx="26">
                  <c:v>6.4</c:v>
                </c:pt>
                <c:pt idx="27">
                  <c:v>6.6000000000000005</c:v>
                </c:pt>
                <c:pt idx="28">
                  <c:v>6.8000000000000007</c:v>
                </c:pt>
                <c:pt idx="29">
                  <c:v>7.0000000000000009</c:v>
                </c:pt>
                <c:pt idx="30">
                  <c:v>7.2</c:v>
                </c:pt>
                <c:pt idx="31">
                  <c:v>7.4</c:v>
                </c:pt>
              </c:numCache>
            </c:numRef>
          </c:cat>
          <c:val>
            <c:numRef>
              <c:f>Результат!$B$29:$AG$29</c:f>
              <c:numCache>
                <c:formatCode>General</c:formatCode>
                <c:ptCount val="32"/>
                <c:pt idx="0">
                  <c:v>631341</c:v>
                </c:pt>
                <c:pt idx="1">
                  <c:v>516973</c:v>
                </c:pt>
                <c:pt idx="2">
                  <c:v>437934</c:v>
                </c:pt>
                <c:pt idx="3">
                  <c:v>380089</c:v>
                </c:pt>
                <c:pt idx="4">
                  <c:v>335958</c:v>
                </c:pt>
                <c:pt idx="5">
                  <c:v>301209</c:v>
                </c:pt>
                <c:pt idx="6">
                  <c:v>273160</c:v>
                </c:pt>
                <c:pt idx="7">
                  <c:v>250063</c:v>
                </c:pt>
                <c:pt idx="8">
                  <c:v>230730</c:v>
                </c:pt>
                <c:pt idx="9">
                  <c:v>214324</c:v>
                </c:pt>
                <c:pt idx="10">
                  <c:v>200239</c:v>
                </c:pt>
                <c:pt idx="11">
                  <c:v>188027</c:v>
                </c:pt>
                <c:pt idx="12">
                  <c:v>177347</c:v>
                </c:pt>
                <c:pt idx="13">
                  <c:v>167937</c:v>
                </c:pt>
                <c:pt idx="14">
                  <c:v>159590</c:v>
                </c:pt>
                <c:pt idx="15">
                  <c:v>152144</c:v>
                </c:pt>
                <c:pt idx="16">
                  <c:v>145468</c:v>
                </c:pt>
                <c:pt idx="17">
                  <c:v>139454</c:v>
                </c:pt>
                <c:pt idx="18">
                  <c:v>134014</c:v>
                </c:pt>
                <c:pt idx="19">
                  <c:v>129076</c:v>
                </c:pt>
                <c:pt idx="20">
                  <c:v>124578</c:v>
                </c:pt>
                <c:pt idx="21">
                  <c:v>120470</c:v>
                </c:pt>
                <c:pt idx="22">
                  <c:v>116707</c:v>
                </c:pt>
                <c:pt idx="23">
                  <c:v>113253</c:v>
                </c:pt>
                <c:pt idx="24">
                  <c:v>110076</c:v>
                </c:pt>
                <c:pt idx="25">
                  <c:v>107148</c:v>
                </c:pt>
                <c:pt idx="26">
                  <c:v>104446</c:v>
                </c:pt>
                <c:pt idx="27">
                  <c:v>101948</c:v>
                </c:pt>
                <c:pt idx="28">
                  <c:v>99636</c:v>
                </c:pt>
                <c:pt idx="29">
                  <c:v>97495</c:v>
                </c:pt>
                <c:pt idx="30">
                  <c:v>95510</c:v>
                </c:pt>
                <c:pt idx="31">
                  <c:v>93669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DD5-47E1-8909-193633AAD10D}"/>
            </c:ext>
          </c:extLst>
        </c:ser>
        <c:ser>
          <c:idx val="10"/>
          <c:order val="10"/>
          <c:tx>
            <c:v>P_out - 1,2</c:v>
          </c:tx>
          <c:marker>
            <c:symbol val="none"/>
          </c:marker>
          <c:cat>
            <c:numRef>
              <c:f>Результат!$B$19:$AG$19</c:f>
              <c:numCache>
                <c:formatCode>General</c:formatCode>
                <c:ptCount val="32"/>
                <c:pt idx="0">
                  <c:v>1.2</c:v>
                </c:pt>
                <c:pt idx="1">
                  <c:v>1.4</c:v>
                </c:pt>
                <c:pt idx="2">
                  <c:v>1.6</c:v>
                </c:pt>
                <c:pt idx="3">
                  <c:v>1.8</c:v>
                </c:pt>
                <c:pt idx="4">
                  <c:v>2</c:v>
                </c:pt>
                <c:pt idx="5">
                  <c:v>2.2000000000000002</c:v>
                </c:pt>
                <c:pt idx="6">
                  <c:v>2.4000000000000004</c:v>
                </c:pt>
                <c:pt idx="7">
                  <c:v>2.6</c:v>
                </c:pt>
                <c:pt idx="8">
                  <c:v>2.8</c:v>
                </c:pt>
                <c:pt idx="9">
                  <c:v>3</c:v>
                </c:pt>
                <c:pt idx="10">
                  <c:v>3.2</c:v>
                </c:pt>
                <c:pt idx="11">
                  <c:v>3.4000000000000004</c:v>
                </c:pt>
                <c:pt idx="12">
                  <c:v>3.6000000000000005</c:v>
                </c:pt>
                <c:pt idx="13">
                  <c:v>3.8</c:v>
                </c:pt>
                <c:pt idx="14">
                  <c:v>4</c:v>
                </c:pt>
                <c:pt idx="15">
                  <c:v>4.2</c:v>
                </c:pt>
                <c:pt idx="16">
                  <c:v>4.4000000000000004</c:v>
                </c:pt>
                <c:pt idx="17">
                  <c:v>4.6000000000000005</c:v>
                </c:pt>
                <c:pt idx="18">
                  <c:v>4.8</c:v>
                </c:pt>
                <c:pt idx="19">
                  <c:v>5</c:v>
                </c:pt>
                <c:pt idx="20">
                  <c:v>5.2</c:v>
                </c:pt>
                <c:pt idx="21">
                  <c:v>5.4</c:v>
                </c:pt>
                <c:pt idx="22">
                  <c:v>5.6000000000000005</c:v>
                </c:pt>
                <c:pt idx="23">
                  <c:v>5.8000000000000007</c:v>
                </c:pt>
                <c:pt idx="24">
                  <c:v>6.0000000000000009</c:v>
                </c:pt>
                <c:pt idx="25">
                  <c:v>6.2</c:v>
                </c:pt>
                <c:pt idx="26">
                  <c:v>6.4</c:v>
                </c:pt>
                <c:pt idx="27">
                  <c:v>6.6000000000000005</c:v>
                </c:pt>
                <c:pt idx="28">
                  <c:v>6.8000000000000007</c:v>
                </c:pt>
                <c:pt idx="29">
                  <c:v>7.0000000000000009</c:v>
                </c:pt>
                <c:pt idx="30">
                  <c:v>7.2</c:v>
                </c:pt>
                <c:pt idx="31">
                  <c:v>7.4</c:v>
                </c:pt>
              </c:numCache>
            </c:numRef>
          </c:cat>
          <c:val>
            <c:numRef>
              <c:f>Результат!$B$30:$AG$30</c:f>
              <c:numCache>
                <c:formatCode>General</c:formatCode>
                <c:ptCount val="32"/>
                <c:pt idx="0">
                  <c:v>706745</c:v>
                </c:pt>
                <c:pt idx="1">
                  <c:v>565853</c:v>
                </c:pt>
                <c:pt idx="2">
                  <c:v>472076</c:v>
                </c:pt>
                <c:pt idx="3">
                  <c:v>405219</c:v>
                </c:pt>
                <c:pt idx="4">
                  <c:v>355185</c:v>
                </c:pt>
                <c:pt idx="5">
                  <c:v>316365</c:v>
                </c:pt>
                <c:pt idx="6">
                  <c:v>285394</c:v>
                </c:pt>
                <c:pt idx="7">
                  <c:v>260132</c:v>
                </c:pt>
                <c:pt idx="8">
                  <c:v>239151</c:v>
                </c:pt>
                <c:pt idx="9">
                  <c:v>221463</c:v>
                </c:pt>
                <c:pt idx="10">
                  <c:v>206362</c:v>
                </c:pt>
                <c:pt idx="11">
                  <c:v>193331</c:v>
                </c:pt>
                <c:pt idx="12">
                  <c:v>181982</c:v>
                </c:pt>
                <c:pt idx="13">
                  <c:v>172018</c:v>
                </c:pt>
                <c:pt idx="14">
                  <c:v>163209</c:v>
                </c:pt>
                <c:pt idx="15">
                  <c:v>155373</c:v>
                </c:pt>
                <c:pt idx="16">
                  <c:v>148365</c:v>
                </c:pt>
                <c:pt idx="17">
                  <c:v>142065</c:v>
                </c:pt>
                <c:pt idx="18">
                  <c:v>136379</c:v>
                </c:pt>
                <c:pt idx="19">
                  <c:v>131227</c:v>
                </c:pt>
                <c:pt idx="20">
                  <c:v>126542</c:v>
                </c:pt>
                <c:pt idx="21">
                  <c:v>122269</c:v>
                </c:pt>
                <c:pt idx="22">
                  <c:v>118361</c:v>
                </c:pt>
                <c:pt idx="23">
                  <c:v>114778</c:v>
                </c:pt>
                <c:pt idx="24">
                  <c:v>111486</c:v>
                </c:pt>
                <c:pt idx="25">
                  <c:v>108455</c:v>
                </c:pt>
                <c:pt idx="26">
                  <c:v>105659</c:v>
                </c:pt>
                <c:pt idx="27">
                  <c:v>103078</c:v>
                </c:pt>
                <c:pt idx="28">
                  <c:v>100691</c:v>
                </c:pt>
                <c:pt idx="29">
                  <c:v>98481</c:v>
                </c:pt>
                <c:pt idx="30">
                  <c:v>96433</c:v>
                </c:pt>
                <c:pt idx="31">
                  <c:v>94535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ADD5-47E1-8909-193633AAD10D}"/>
            </c:ext>
          </c:extLst>
        </c:ser>
        <c:ser>
          <c:idx val="11"/>
          <c:order val="11"/>
          <c:tx>
            <c:v/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70AD47"/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cat>
            <c:numLit>
              <c:formatCode>General</c:formatCode>
              <c:ptCount val="2"/>
              <c:pt idx="0">
                <c:v>1.2</c:v>
              </c:pt>
              <c:pt idx="1">
                <c:v>7.4</c:v>
              </c:pt>
            </c:num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B-ADD5-47E1-8909-193633AAD1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6716416"/>
        <c:axId val="996715168"/>
      </c:lineChart>
      <c:catAx>
        <c:axId val="996716416"/>
        <c:scaling>
          <c:orientation val="minMax"/>
        </c:scaling>
        <c:delete val="0"/>
        <c:axPos val="b"/>
        <c:majorGridlines>
          <c:spPr>
            <a:ln>
              <a:solidFill>
                <a:srgbClr val="C8C8C8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Входное давление - </a:t>
                </a:r>
                <a:r>
                  <a:rPr lang="en-US"/>
                  <a:t>P_in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6715168"/>
        <c:crosses val="autoZero"/>
        <c:auto val="1"/>
        <c:lblAlgn val="ctr"/>
        <c:lblOffset val="100"/>
        <c:noMultiLvlLbl val="0"/>
      </c:catAx>
      <c:valAx>
        <c:axId val="996715168"/>
        <c:scaling>
          <c:orientation val="minMax"/>
          <c:max val="706745"/>
          <c:min val="86748"/>
        </c:scaling>
        <c:delete val="0"/>
        <c:axPos val="l"/>
        <c:majorGridlines>
          <c:spPr>
            <a:ln>
              <a:solidFill>
                <a:srgbClr val="C8C8C8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Расход - </a:t>
                </a:r>
                <a:r>
                  <a:rPr lang="en-US"/>
                  <a:t>Q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671641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Перепад температур при изменение давления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P_out - 0,2 МПа</c:v>
          </c:tx>
          <c:marker>
            <c:symbol val="none"/>
          </c:marker>
          <c:cat>
            <c:numRef>
              <c:f>'Промежуточный расчет'!$AT$11:$BY$11</c:f>
              <c:numCache>
                <c:formatCode>General</c:formatCode>
                <c:ptCount val="32"/>
                <c:pt idx="0">
                  <c:v>1.2</c:v>
                </c:pt>
                <c:pt idx="1">
                  <c:v>1.4</c:v>
                </c:pt>
                <c:pt idx="2">
                  <c:v>1.6</c:v>
                </c:pt>
                <c:pt idx="3">
                  <c:v>1.8</c:v>
                </c:pt>
                <c:pt idx="4">
                  <c:v>2</c:v>
                </c:pt>
                <c:pt idx="5">
                  <c:v>2.2000000000000002</c:v>
                </c:pt>
                <c:pt idx="6">
                  <c:v>2.4000000000000004</c:v>
                </c:pt>
                <c:pt idx="7">
                  <c:v>2.6</c:v>
                </c:pt>
                <c:pt idx="8">
                  <c:v>2.8</c:v>
                </c:pt>
                <c:pt idx="9">
                  <c:v>3</c:v>
                </c:pt>
                <c:pt idx="10">
                  <c:v>3.2</c:v>
                </c:pt>
                <c:pt idx="11">
                  <c:v>3.4000000000000004</c:v>
                </c:pt>
                <c:pt idx="12">
                  <c:v>3.6000000000000005</c:v>
                </c:pt>
                <c:pt idx="13">
                  <c:v>3.8</c:v>
                </c:pt>
                <c:pt idx="14">
                  <c:v>4</c:v>
                </c:pt>
                <c:pt idx="15">
                  <c:v>4.2</c:v>
                </c:pt>
                <c:pt idx="16">
                  <c:v>4.4000000000000004</c:v>
                </c:pt>
                <c:pt idx="17">
                  <c:v>4.6000000000000005</c:v>
                </c:pt>
                <c:pt idx="18">
                  <c:v>4.8</c:v>
                </c:pt>
                <c:pt idx="19">
                  <c:v>5</c:v>
                </c:pt>
                <c:pt idx="20">
                  <c:v>5.2</c:v>
                </c:pt>
                <c:pt idx="21">
                  <c:v>5.4</c:v>
                </c:pt>
                <c:pt idx="22">
                  <c:v>5.6000000000000005</c:v>
                </c:pt>
                <c:pt idx="23">
                  <c:v>5.8000000000000007</c:v>
                </c:pt>
                <c:pt idx="24">
                  <c:v>6.0000000000000009</c:v>
                </c:pt>
                <c:pt idx="25">
                  <c:v>6.2</c:v>
                </c:pt>
                <c:pt idx="26">
                  <c:v>6.4</c:v>
                </c:pt>
                <c:pt idx="27">
                  <c:v>6.6000000000000005</c:v>
                </c:pt>
                <c:pt idx="28">
                  <c:v>6.8000000000000007</c:v>
                </c:pt>
                <c:pt idx="29">
                  <c:v>7.0000000000000009</c:v>
                </c:pt>
                <c:pt idx="30">
                  <c:v>7.2</c:v>
                </c:pt>
                <c:pt idx="31">
                  <c:v>7.4</c:v>
                </c:pt>
              </c:numCache>
            </c:numRef>
          </c:cat>
          <c:val>
            <c:numRef>
              <c:f>'Промежуточный расчет'!$AT$12:$BY$12</c:f>
              <c:numCache>
                <c:formatCode>General</c:formatCode>
                <c:ptCount val="32"/>
                <c:pt idx="0">
                  <c:v>11.23389644483937</c:v>
                </c:pt>
                <c:pt idx="1">
                  <c:v>12.469715024361992</c:v>
                </c:pt>
                <c:pt idx="2">
                  <c:v>13.699253106859162</c:v>
                </c:pt>
                <c:pt idx="3">
                  <c:v>14.921436252454601</c:v>
                </c:pt>
                <c:pt idx="4">
                  <c:v>16.135215714307535</c:v>
                </c:pt>
                <c:pt idx="5">
                  <c:v>17.339568438612709</c:v>
                </c:pt>
                <c:pt idx="6">
                  <c:v>18.533497064600365</c:v>
                </c:pt>
                <c:pt idx="7">
                  <c:v>19.716029924536265</c:v>
                </c:pt>
                <c:pt idx="8">
                  <c:v>20.886221043721665</c:v>
                </c:pt>
                <c:pt idx="9">
                  <c:v>22.043150140493356</c:v>
                </c:pt>
                <c:pt idx="10">
                  <c:v>23.185922626223618</c:v>
                </c:pt>
                <c:pt idx="11">
                  <c:v>24.313669605320246</c:v>
                </c:pt>
                <c:pt idx="12">
                  <c:v>25.425547875226549</c:v>
                </c:pt>
                <c:pt idx="13">
                  <c:v>26.520739926421331</c:v>
                </c:pt>
                <c:pt idx="14">
                  <c:v>27.598453942418935</c:v>
                </c:pt>
                <c:pt idx="15">
                  <c:v>28.657923799769172</c:v>
                </c:pt>
                <c:pt idx="16">
                  <c:v>29.698409068057408</c:v>
                </c:pt>
                <c:pt idx="17">
                  <c:v>30.719195009904482</c:v>
                </c:pt>
                <c:pt idx="18">
                  <c:v>31.719592580966765</c:v>
                </c:pt>
                <c:pt idx="19">
                  <c:v>32.698938429936121</c:v>
                </c:pt>
                <c:pt idx="20">
                  <c:v>33.656594898539936</c:v>
                </c:pt>
                <c:pt idx="21">
                  <c:v>34.591950021541095</c:v>
                </c:pt>
                <c:pt idx="22">
                  <c:v>35.50441752673801</c:v>
                </c:pt>
                <c:pt idx="23">
                  <c:v>36.393436834964589</c:v>
                </c:pt>
                <c:pt idx="24">
                  <c:v>37.258473060090253</c:v>
                </c:pt>
                <c:pt idx="25">
                  <c:v>38.099017009019924</c:v>
                </c:pt>
                <c:pt idx="26">
                  <c:v>38.914585181694044</c:v>
                </c:pt>
                <c:pt idx="27">
                  <c:v>39.704719771088556</c:v>
                </c:pt>
                <c:pt idx="28">
                  <c:v>40.468988663214937</c:v>
                </c:pt>
                <c:pt idx="29">
                  <c:v>41.206985437120146</c:v>
                </c:pt>
                <c:pt idx="30">
                  <c:v>41.918329364886645</c:v>
                </c:pt>
                <c:pt idx="31">
                  <c:v>42.602665411632437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43-4B58-A06C-13F6CFC70045}"/>
            </c:ext>
          </c:extLst>
        </c:ser>
        <c:ser>
          <c:idx val="1"/>
          <c:order val="1"/>
          <c:tx>
            <c:v>P_out - 0,3 МПа</c:v>
          </c:tx>
          <c:marker>
            <c:symbol val="none"/>
          </c:marker>
          <c:cat>
            <c:numRef>
              <c:f>'Промежуточный расчет'!$AT$11:$BY$11</c:f>
              <c:numCache>
                <c:formatCode>General</c:formatCode>
                <c:ptCount val="32"/>
                <c:pt idx="0">
                  <c:v>1.2</c:v>
                </c:pt>
                <c:pt idx="1">
                  <c:v>1.4</c:v>
                </c:pt>
                <c:pt idx="2">
                  <c:v>1.6</c:v>
                </c:pt>
                <c:pt idx="3">
                  <c:v>1.8</c:v>
                </c:pt>
                <c:pt idx="4">
                  <c:v>2</c:v>
                </c:pt>
                <c:pt idx="5">
                  <c:v>2.2000000000000002</c:v>
                </c:pt>
                <c:pt idx="6">
                  <c:v>2.4000000000000004</c:v>
                </c:pt>
                <c:pt idx="7">
                  <c:v>2.6</c:v>
                </c:pt>
                <c:pt idx="8">
                  <c:v>2.8</c:v>
                </c:pt>
                <c:pt idx="9">
                  <c:v>3</c:v>
                </c:pt>
                <c:pt idx="10">
                  <c:v>3.2</c:v>
                </c:pt>
                <c:pt idx="11">
                  <c:v>3.4000000000000004</c:v>
                </c:pt>
                <c:pt idx="12">
                  <c:v>3.6000000000000005</c:v>
                </c:pt>
                <c:pt idx="13">
                  <c:v>3.8</c:v>
                </c:pt>
                <c:pt idx="14">
                  <c:v>4</c:v>
                </c:pt>
                <c:pt idx="15">
                  <c:v>4.2</c:v>
                </c:pt>
                <c:pt idx="16">
                  <c:v>4.4000000000000004</c:v>
                </c:pt>
                <c:pt idx="17">
                  <c:v>4.6000000000000005</c:v>
                </c:pt>
                <c:pt idx="18">
                  <c:v>4.8</c:v>
                </c:pt>
                <c:pt idx="19">
                  <c:v>5</c:v>
                </c:pt>
                <c:pt idx="20">
                  <c:v>5.2</c:v>
                </c:pt>
                <c:pt idx="21">
                  <c:v>5.4</c:v>
                </c:pt>
                <c:pt idx="22">
                  <c:v>5.6000000000000005</c:v>
                </c:pt>
                <c:pt idx="23">
                  <c:v>5.8000000000000007</c:v>
                </c:pt>
                <c:pt idx="24">
                  <c:v>6.0000000000000009</c:v>
                </c:pt>
                <c:pt idx="25">
                  <c:v>6.2</c:v>
                </c:pt>
                <c:pt idx="26">
                  <c:v>6.4</c:v>
                </c:pt>
                <c:pt idx="27">
                  <c:v>6.6000000000000005</c:v>
                </c:pt>
                <c:pt idx="28">
                  <c:v>6.8000000000000007</c:v>
                </c:pt>
                <c:pt idx="29">
                  <c:v>7.0000000000000009</c:v>
                </c:pt>
                <c:pt idx="30">
                  <c:v>7.2</c:v>
                </c:pt>
                <c:pt idx="31">
                  <c:v>7.4</c:v>
                </c:pt>
              </c:numCache>
            </c:numRef>
          </c:cat>
          <c:val>
            <c:numRef>
              <c:f>'Промежуточный расчет'!$AT$13:$BY$13</c:f>
              <c:numCache>
                <c:formatCode>General</c:formatCode>
                <c:ptCount val="32"/>
                <c:pt idx="0">
                  <c:v>10.610506800355434</c:v>
                </c:pt>
                <c:pt idx="1">
                  <c:v>11.847238772331826</c:v>
                </c:pt>
                <c:pt idx="2">
                  <c:v>13.077877884940651</c:v>
                </c:pt>
                <c:pt idx="3">
                  <c:v>14.301346486676188</c:v>
                </c:pt>
                <c:pt idx="4">
                  <c:v>15.516592619068229</c:v>
                </c:pt>
                <c:pt idx="5">
                  <c:v>16.722590016682076</c:v>
                </c:pt>
                <c:pt idx="6">
                  <c:v>17.918338107118533</c:v>
                </c:pt>
                <c:pt idx="7">
                  <c:v>19.102862011013919</c:v>
                </c:pt>
                <c:pt idx="8">
                  <c:v>20.275212542040066</c:v>
                </c:pt>
                <c:pt idx="9">
                  <c:v>21.434466206904311</c:v>
                </c:pt>
                <c:pt idx="10">
                  <c:v>22.579725205349501</c:v>
                </c:pt>
                <c:pt idx="11">
                  <c:v>23.710117430153993</c:v>
                </c:pt>
                <c:pt idx="12">
                  <c:v>24.824796467131652</c:v>
                </c:pt>
                <c:pt idx="13">
                  <c:v>25.922941595131853</c:v>
                </c:pt>
                <c:pt idx="14">
                  <c:v>27.00375778603949</c:v>
                </c:pt>
                <c:pt idx="15">
                  <c:v>28.066475704774945</c:v>
                </c:pt>
                <c:pt idx="16">
                  <c:v>29.11035170929414</c:v>
                </c:pt>
                <c:pt idx="17">
                  <c:v>30.134667850588471</c:v>
                </c:pt>
                <c:pt idx="18">
                  <c:v>31.138731872684879</c:v>
                </c:pt>
                <c:pt idx="19">
                  <c:v>32.121877212645785</c:v>
                </c:pt>
                <c:pt idx="20">
                  <c:v>33.083463000569139</c:v>
                </c:pt>
                <c:pt idx="21">
                  <c:v>34.022874059588389</c:v>
                </c:pt>
                <c:pt idx="22">
                  <c:v>34.939520905872492</c:v>
                </c:pt>
                <c:pt idx="23">
                  <c:v>35.832839748625943</c:v>
                </c:pt>
                <c:pt idx="24">
                  <c:v>36.702292490088695</c:v>
                </c:pt>
                <c:pt idx="25">
                  <c:v>37.547366725536264</c:v>
                </c:pt>
                <c:pt idx="26">
                  <c:v>38.367575743279623</c:v>
                </c:pt>
                <c:pt idx="27">
                  <c:v>39.162458524665297</c:v>
                </c:pt>
                <c:pt idx="28">
                  <c:v>39.931579744075314</c:v>
                </c:pt>
                <c:pt idx="29">
                  <c:v>40.674529768927201</c:v>
                </c:pt>
                <c:pt idx="30">
                  <c:v>41.390924659673978</c:v>
                </c:pt>
                <c:pt idx="31">
                  <c:v>42.080406169804213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43-4B58-A06C-13F6CFC70045}"/>
            </c:ext>
          </c:extLst>
        </c:ser>
        <c:ser>
          <c:idx val="2"/>
          <c:order val="2"/>
          <c:tx>
            <c:v>P_out - 0,4 МПа</c:v>
          </c:tx>
          <c:marker>
            <c:symbol val="none"/>
          </c:marker>
          <c:cat>
            <c:numRef>
              <c:f>'Промежуточный расчет'!$AT$11:$BY$11</c:f>
              <c:numCache>
                <c:formatCode>General</c:formatCode>
                <c:ptCount val="32"/>
                <c:pt idx="0">
                  <c:v>1.2</c:v>
                </c:pt>
                <c:pt idx="1">
                  <c:v>1.4</c:v>
                </c:pt>
                <c:pt idx="2">
                  <c:v>1.6</c:v>
                </c:pt>
                <c:pt idx="3">
                  <c:v>1.8</c:v>
                </c:pt>
                <c:pt idx="4">
                  <c:v>2</c:v>
                </c:pt>
                <c:pt idx="5">
                  <c:v>2.2000000000000002</c:v>
                </c:pt>
                <c:pt idx="6">
                  <c:v>2.4000000000000004</c:v>
                </c:pt>
                <c:pt idx="7">
                  <c:v>2.6</c:v>
                </c:pt>
                <c:pt idx="8">
                  <c:v>2.8</c:v>
                </c:pt>
                <c:pt idx="9">
                  <c:v>3</c:v>
                </c:pt>
                <c:pt idx="10">
                  <c:v>3.2</c:v>
                </c:pt>
                <c:pt idx="11">
                  <c:v>3.4000000000000004</c:v>
                </c:pt>
                <c:pt idx="12">
                  <c:v>3.6000000000000005</c:v>
                </c:pt>
                <c:pt idx="13">
                  <c:v>3.8</c:v>
                </c:pt>
                <c:pt idx="14">
                  <c:v>4</c:v>
                </c:pt>
                <c:pt idx="15">
                  <c:v>4.2</c:v>
                </c:pt>
                <c:pt idx="16">
                  <c:v>4.4000000000000004</c:v>
                </c:pt>
                <c:pt idx="17">
                  <c:v>4.6000000000000005</c:v>
                </c:pt>
                <c:pt idx="18">
                  <c:v>4.8</c:v>
                </c:pt>
                <c:pt idx="19">
                  <c:v>5</c:v>
                </c:pt>
                <c:pt idx="20">
                  <c:v>5.2</c:v>
                </c:pt>
                <c:pt idx="21">
                  <c:v>5.4</c:v>
                </c:pt>
                <c:pt idx="22">
                  <c:v>5.6000000000000005</c:v>
                </c:pt>
                <c:pt idx="23">
                  <c:v>5.8000000000000007</c:v>
                </c:pt>
                <c:pt idx="24">
                  <c:v>6.0000000000000009</c:v>
                </c:pt>
                <c:pt idx="25">
                  <c:v>6.2</c:v>
                </c:pt>
                <c:pt idx="26">
                  <c:v>6.4</c:v>
                </c:pt>
                <c:pt idx="27">
                  <c:v>6.6000000000000005</c:v>
                </c:pt>
                <c:pt idx="28">
                  <c:v>6.8000000000000007</c:v>
                </c:pt>
                <c:pt idx="29">
                  <c:v>7.0000000000000009</c:v>
                </c:pt>
                <c:pt idx="30">
                  <c:v>7.2</c:v>
                </c:pt>
                <c:pt idx="31">
                  <c:v>7.4</c:v>
                </c:pt>
              </c:numCache>
            </c:numRef>
          </c:cat>
          <c:val>
            <c:numRef>
              <c:f>'Промежуточный расчет'!$AT$14:$BY$14</c:f>
              <c:numCache>
                <c:formatCode>General</c:formatCode>
                <c:ptCount val="32"/>
                <c:pt idx="0">
                  <c:v>9.9871171558714966</c:v>
                </c:pt>
                <c:pt idx="1">
                  <c:v>11.22476252030166</c:v>
                </c:pt>
                <c:pt idx="2">
                  <c:v>12.456502663022139</c:v>
                </c:pt>
                <c:pt idx="3">
                  <c:v>13.681256720897775</c:v>
                </c:pt>
                <c:pt idx="4">
                  <c:v>14.897969523828921</c:v>
                </c:pt>
                <c:pt idx="5">
                  <c:v>16.105611594751437</c:v>
                </c:pt>
                <c:pt idx="6">
                  <c:v>17.303179149636698</c:v>
                </c:pt>
                <c:pt idx="7">
                  <c:v>18.489694097491576</c:v>
                </c:pt>
                <c:pt idx="8">
                  <c:v>19.664204040358463</c:v>
                </c:pt>
                <c:pt idx="9">
                  <c:v>20.825782273315262</c:v>
                </c:pt>
                <c:pt idx="10">
                  <c:v>21.97352778447538</c:v>
                </c:pt>
                <c:pt idx="11">
                  <c:v>23.106565254987732</c:v>
                </c:pt>
                <c:pt idx="12">
                  <c:v>24.224045059036751</c:v>
                </c:pt>
                <c:pt idx="13">
                  <c:v>25.325143263842371</c:v>
                </c:pt>
                <c:pt idx="14">
                  <c:v>26.409061629660044</c:v>
                </c:pt>
                <c:pt idx="15">
                  <c:v>27.475027609780714</c:v>
                </c:pt>
                <c:pt idx="16">
                  <c:v>28.522294350530863</c:v>
                </c:pt>
                <c:pt idx="17">
                  <c:v>29.550140691272457</c:v>
                </c:pt>
                <c:pt idx="18">
                  <c:v>30.557871164402989</c:v>
                </c:pt>
                <c:pt idx="19">
                  <c:v>31.544815995355446</c:v>
                </c:pt>
                <c:pt idx="20">
                  <c:v>32.510331102598336</c:v>
                </c:pt>
                <c:pt idx="21">
                  <c:v>33.453798097635669</c:v>
                </c:pt>
                <c:pt idx="22">
                  <c:v>34.374624285006973</c:v>
                </c:pt>
                <c:pt idx="23">
                  <c:v>35.272242662287283</c:v>
                </c:pt>
                <c:pt idx="24">
                  <c:v>36.146111920087137</c:v>
                </c:pt>
                <c:pt idx="25">
                  <c:v>36.995716442052597</c:v>
                </c:pt>
                <c:pt idx="26">
                  <c:v>37.820566304865203</c:v>
                </c:pt>
                <c:pt idx="27">
                  <c:v>38.620197278242038</c:v>
                </c:pt>
                <c:pt idx="28">
                  <c:v>39.394170824935692</c:v>
                </c:pt>
                <c:pt idx="29">
                  <c:v>40.142074100734256</c:v>
                </c:pt>
                <c:pt idx="30">
                  <c:v>40.86351995446131</c:v>
                </c:pt>
                <c:pt idx="31">
                  <c:v>41.558146927975983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43-4B58-A06C-13F6CFC70045}"/>
            </c:ext>
          </c:extLst>
        </c:ser>
        <c:ser>
          <c:idx val="3"/>
          <c:order val="3"/>
          <c:tx>
            <c:v>P_out - 0,5 МПа</c:v>
          </c:tx>
          <c:marker>
            <c:symbol val="none"/>
          </c:marker>
          <c:cat>
            <c:numRef>
              <c:f>'Промежуточный расчет'!$AT$11:$BY$11</c:f>
              <c:numCache>
                <c:formatCode>General</c:formatCode>
                <c:ptCount val="32"/>
                <c:pt idx="0">
                  <c:v>1.2</c:v>
                </c:pt>
                <c:pt idx="1">
                  <c:v>1.4</c:v>
                </c:pt>
                <c:pt idx="2">
                  <c:v>1.6</c:v>
                </c:pt>
                <c:pt idx="3">
                  <c:v>1.8</c:v>
                </c:pt>
                <c:pt idx="4">
                  <c:v>2</c:v>
                </c:pt>
                <c:pt idx="5">
                  <c:v>2.2000000000000002</c:v>
                </c:pt>
                <c:pt idx="6">
                  <c:v>2.4000000000000004</c:v>
                </c:pt>
                <c:pt idx="7">
                  <c:v>2.6</c:v>
                </c:pt>
                <c:pt idx="8">
                  <c:v>2.8</c:v>
                </c:pt>
                <c:pt idx="9">
                  <c:v>3</c:v>
                </c:pt>
                <c:pt idx="10">
                  <c:v>3.2</c:v>
                </c:pt>
                <c:pt idx="11">
                  <c:v>3.4000000000000004</c:v>
                </c:pt>
                <c:pt idx="12">
                  <c:v>3.6000000000000005</c:v>
                </c:pt>
                <c:pt idx="13">
                  <c:v>3.8</c:v>
                </c:pt>
                <c:pt idx="14">
                  <c:v>4</c:v>
                </c:pt>
                <c:pt idx="15">
                  <c:v>4.2</c:v>
                </c:pt>
                <c:pt idx="16">
                  <c:v>4.4000000000000004</c:v>
                </c:pt>
                <c:pt idx="17">
                  <c:v>4.6000000000000005</c:v>
                </c:pt>
                <c:pt idx="18">
                  <c:v>4.8</c:v>
                </c:pt>
                <c:pt idx="19">
                  <c:v>5</c:v>
                </c:pt>
                <c:pt idx="20">
                  <c:v>5.2</c:v>
                </c:pt>
                <c:pt idx="21">
                  <c:v>5.4</c:v>
                </c:pt>
                <c:pt idx="22">
                  <c:v>5.6000000000000005</c:v>
                </c:pt>
                <c:pt idx="23">
                  <c:v>5.8000000000000007</c:v>
                </c:pt>
                <c:pt idx="24">
                  <c:v>6.0000000000000009</c:v>
                </c:pt>
                <c:pt idx="25">
                  <c:v>6.2</c:v>
                </c:pt>
                <c:pt idx="26">
                  <c:v>6.4</c:v>
                </c:pt>
                <c:pt idx="27">
                  <c:v>6.6000000000000005</c:v>
                </c:pt>
                <c:pt idx="28">
                  <c:v>6.8000000000000007</c:v>
                </c:pt>
                <c:pt idx="29">
                  <c:v>7.0000000000000009</c:v>
                </c:pt>
                <c:pt idx="30">
                  <c:v>7.2</c:v>
                </c:pt>
                <c:pt idx="31">
                  <c:v>7.4</c:v>
                </c:pt>
              </c:numCache>
            </c:numRef>
          </c:cat>
          <c:val>
            <c:numRef>
              <c:f>'Промежуточный расчет'!$AT$15:$BY$15</c:f>
              <c:numCache>
                <c:formatCode>General</c:formatCode>
                <c:ptCount val="32"/>
                <c:pt idx="0">
                  <c:v>9.3637275113875589</c:v>
                </c:pt>
                <c:pt idx="1">
                  <c:v>10.602286268271495</c:v>
                </c:pt>
                <c:pt idx="2">
                  <c:v>11.835127441103628</c:v>
                </c:pt>
                <c:pt idx="3">
                  <c:v>13.061166955119363</c:v>
                </c:pt>
                <c:pt idx="4">
                  <c:v>14.279346428589614</c:v>
                </c:pt>
                <c:pt idx="5">
                  <c:v>15.488633172820803</c:v>
                </c:pt>
                <c:pt idx="6">
                  <c:v>16.688020192154863</c:v>
                </c:pt>
                <c:pt idx="7">
                  <c:v>17.876526183969233</c:v>
                </c:pt>
                <c:pt idx="8">
                  <c:v>19.05319553867686</c:v>
                </c:pt>
                <c:pt idx="9">
                  <c:v>20.217098339726213</c:v>
                </c:pt>
                <c:pt idx="10">
                  <c:v>21.367330363601258</c:v>
                </c:pt>
                <c:pt idx="11">
                  <c:v>22.503013079821475</c:v>
                </c:pt>
                <c:pt idx="12">
                  <c:v>23.623293650941854</c:v>
                </c:pt>
                <c:pt idx="13">
                  <c:v>24.727344932552889</c:v>
                </c:pt>
                <c:pt idx="14">
                  <c:v>25.814365473280596</c:v>
                </c:pt>
                <c:pt idx="15">
                  <c:v>26.883579514786486</c:v>
                </c:pt>
                <c:pt idx="16">
                  <c:v>27.934236991767595</c:v>
                </c:pt>
                <c:pt idx="17">
                  <c:v>28.96561353195645</c:v>
                </c:pt>
                <c:pt idx="18">
                  <c:v>29.977010456121107</c:v>
                </c:pt>
                <c:pt idx="19">
                  <c:v>30.96775477806511</c:v>
                </c:pt>
                <c:pt idx="20">
                  <c:v>31.937199204627539</c:v>
                </c:pt>
                <c:pt idx="21">
                  <c:v>32.884722135682956</c:v>
                </c:pt>
                <c:pt idx="22">
                  <c:v>33.809727664141448</c:v>
                </c:pt>
                <c:pt idx="23">
                  <c:v>34.711645575948637</c:v>
                </c:pt>
                <c:pt idx="24">
                  <c:v>35.589931350085585</c:v>
                </c:pt>
                <c:pt idx="25">
                  <c:v>36.44406615856893</c:v>
                </c:pt>
                <c:pt idx="26">
                  <c:v>37.273556866450782</c:v>
                </c:pt>
                <c:pt idx="27">
                  <c:v>38.07793603181878</c:v>
                </c:pt>
                <c:pt idx="28">
                  <c:v>38.856761905796077</c:v>
                </c:pt>
                <c:pt idx="29">
                  <c:v>39.609618432541318</c:v>
                </c:pt>
                <c:pt idx="30">
                  <c:v>40.336115249248643</c:v>
                </c:pt>
                <c:pt idx="31">
                  <c:v>41.035887686147753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343-4B58-A06C-13F6CFC70045}"/>
            </c:ext>
          </c:extLst>
        </c:ser>
        <c:ser>
          <c:idx val="4"/>
          <c:order val="4"/>
          <c:tx>
            <c:v>P_out - 0,6 МПа</c:v>
          </c:tx>
          <c:marker>
            <c:symbol val="none"/>
          </c:marker>
          <c:cat>
            <c:numRef>
              <c:f>'Промежуточный расчет'!$AT$11:$BY$11</c:f>
              <c:numCache>
                <c:formatCode>General</c:formatCode>
                <c:ptCount val="32"/>
                <c:pt idx="0">
                  <c:v>1.2</c:v>
                </c:pt>
                <c:pt idx="1">
                  <c:v>1.4</c:v>
                </c:pt>
                <c:pt idx="2">
                  <c:v>1.6</c:v>
                </c:pt>
                <c:pt idx="3">
                  <c:v>1.8</c:v>
                </c:pt>
                <c:pt idx="4">
                  <c:v>2</c:v>
                </c:pt>
                <c:pt idx="5">
                  <c:v>2.2000000000000002</c:v>
                </c:pt>
                <c:pt idx="6">
                  <c:v>2.4000000000000004</c:v>
                </c:pt>
                <c:pt idx="7">
                  <c:v>2.6</c:v>
                </c:pt>
                <c:pt idx="8">
                  <c:v>2.8</c:v>
                </c:pt>
                <c:pt idx="9">
                  <c:v>3</c:v>
                </c:pt>
                <c:pt idx="10">
                  <c:v>3.2</c:v>
                </c:pt>
                <c:pt idx="11">
                  <c:v>3.4000000000000004</c:v>
                </c:pt>
                <c:pt idx="12">
                  <c:v>3.6000000000000005</c:v>
                </c:pt>
                <c:pt idx="13">
                  <c:v>3.8</c:v>
                </c:pt>
                <c:pt idx="14">
                  <c:v>4</c:v>
                </c:pt>
                <c:pt idx="15">
                  <c:v>4.2</c:v>
                </c:pt>
                <c:pt idx="16">
                  <c:v>4.4000000000000004</c:v>
                </c:pt>
                <c:pt idx="17">
                  <c:v>4.6000000000000005</c:v>
                </c:pt>
                <c:pt idx="18">
                  <c:v>4.8</c:v>
                </c:pt>
                <c:pt idx="19">
                  <c:v>5</c:v>
                </c:pt>
                <c:pt idx="20">
                  <c:v>5.2</c:v>
                </c:pt>
                <c:pt idx="21">
                  <c:v>5.4</c:v>
                </c:pt>
                <c:pt idx="22">
                  <c:v>5.6000000000000005</c:v>
                </c:pt>
                <c:pt idx="23">
                  <c:v>5.8000000000000007</c:v>
                </c:pt>
                <c:pt idx="24">
                  <c:v>6.0000000000000009</c:v>
                </c:pt>
                <c:pt idx="25">
                  <c:v>6.2</c:v>
                </c:pt>
                <c:pt idx="26">
                  <c:v>6.4</c:v>
                </c:pt>
                <c:pt idx="27">
                  <c:v>6.6000000000000005</c:v>
                </c:pt>
                <c:pt idx="28">
                  <c:v>6.8000000000000007</c:v>
                </c:pt>
                <c:pt idx="29">
                  <c:v>7.0000000000000009</c:v>
                </c:pt>
                <c:pt idx="30">
                  <c:v>7.2</c:v>
                </c:pt>
                <c:pt idx="31">
                  <c:v>7.4</c:v>
                </c:pt>
              </c:numCache>
            </c:numRef>
          </c:cat>
          <c:val>
            <c:numRef>
              <c:f>'Промежуточный расчет'!$AT$16:$BY$16</c:f>
              <c:numCache>
                <c:formatCode>General</c:formatCode>
                <c:ptCount val="32"/>
                <c:pt idx="0">
                  <c:v>8.7403378669036229</c:v>
                </c:pt>
                <c:pt idx="1">
                  <c:v>9.979810016241327</c:v>
                </c:pt>
                <c:pt idx="2">
                  <c:v>11.213752219185116</c:v>
                </c:pt>
                <c:pt idx="3">
                  <c:v>12.44107718934095</c:v>
                </c:pt>
                <c:pt idx="4">
                  <c:v>13.660723333350305</c:v>
                </c:pt>
                <c:pt idx="5">
                  <c:v>14.871654750890167</c:v>
                </c:pt>
                <c:pt idx="6">
                  <c:v>16.072861234673027</c:v>
                </c:pt>
                <c:pt idx="7">
                  <c:v>17.263358270446886</c:v>
                </c:pt>
                <c:pt idx="8">
                  <c:v>18.442187036995257</c:v>
                </c:pt>
                <c:pt idx="9">
                  <c:v>19.608414406137165</c:v>
                </c:pt>
                <c:pt idx="10">
                  <c:v>20.761132942727137</c:v>
                </c:pt>
                <c:pt idx="11">
                  <c:v>21.899460904655218</c:v>
                </c:pt>
                <c:pt idx="12">
                  <c:v>23.022542242846956</c:v>
                </c:pt>
                <c:pt idx="13">
                  <c:v>24.129546601263407</c:v>
                </c:pt>
                <c:pt idx="14">
                  <c:v>25.21966931690115</c:v>
                </c:pt>
                <c:pt idx="15">
                  <c:v>26.292131419792256</c:v>
                </c:pt>
                <c:pt idx="16">
                  <c:v>27.346179633004322</c:v>
                </c:pt>
                <c:pt idx="17">
                  <c:v>28.381086372640436</c:v>
                </c:pt>
                <c:pt idx="18">
                  <c:v>29.396149747839218</c:v>
                </c:pt>
                <c:pt idx="19">
                  <c:v>30.390693560774778</c:v>
                </c:pt>
                <c:pt idx="20">
                  <c:v>31.364067306656736</c:v>
                </c:pt>
                <c:pt idx="21">
                  <c:v>32.315646173730244</c:v>
                </c:pt>
                <c:pt idx="22">
                  <c:v>33.24483104327593</c:v>
                </c:pt>
                <c:pt idx="23">
                  <c:v>34.151048489609984</c:v>
                </c:pt>
                <c:pt idx="24">
                  <c:v>35.03375078008402</c:v>
                </c:pt>
                <c:pt idx="25">
                  <c:v>35.892415875085263</c:v>
                </c:pt>
                <c:pt idx="26">
                  <c:v>36.726547428036369</c:v>
                </c:pt>
                <c:pt idx="27">
                  <c:v>37.535674785395521</c:v>
                </c:pt>
                <c:pt idx="28">
                  <c:v>38.319352986656455</c:v>
                </c:pt>
                <c:pt idx="29">
                  <c:v>39.077162764348365</c:v>
                </c:pt>
                <c:pt idx="30">
                  <c:v>39.808710544035975</c:v>
                </c:pt>
                <c:pt idx="31">
                  <c:v>40.513628444319529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343-4B58-A06C-13F6CFC70045}"/>
            </c:ext>
          </c:extLst>
        </c:ser>
        <c:ser>
          <c:idx val="5"/>
          <c:order val="5"/>
          <c:tx>
            <c:v>P_out - 0,7 МПа</c:v>
          </c:tx>
          <c:marker>
            <c:symbol val="none"/>
          </c:marker>
          <c:cat>
            <c:numRef>
              <c:f>'Промежуточный расчет'!$AT$11:$BY$11</c:f>
              <c:numCache>
                <c:formatCode>General</c:formatCode>
                <c:ptCount val="32"/>
                <c:pt idx="0">
                  <c:v>1.2</c:v>
                </c:pt>
                <c:pt idx="1">
                  <c:v>1.4</c:v>
                </c:pt>
                <c:pt idx="2">
                  <c:v>1.6</c:v>
                </c:pt>
                <c:pt idx="3">
                  <c:v>1.8</c:v>
                </c:pt>
                <c:pt idx="4">
                  <c:v>2</c:v>
                </c:pt>
                <c:pt idx="5">
                  <c:v>2.2000000000000002</c:v>
                </c:pt>
                <c:pt idx="6">
                  <c:v>2.4000000000000004</c:v>
                </c:pt>
                <c:pt idx="7">
                  <c:v>2.6</c:v>
                </c:pt>
                <c:pt idx="8">
                  <c:v>2.8</c:v>
                </c:pt>
                <c:pt idx="9">
                  <c:v>3</c:v>
                </c:pt>
                <c:pt idx="10">
                  <c:v>3.2</c:v>
                </c:pt>
                <c:pt idx="11">
                  <c:v>3.4000000000000004</c:v>
                </c:pt>
                <c:pt idx="12">
                  <c:v>3.6000000000000005</c:v>
                </c:pt>
                <c:pt idx="13">
                  <c:v>3.8</c:v>
                </c:pt>
                <c:pt idx="14">
                  <c:v>4</c:v>
                </c:pt>
                <c:pt idx="15">
                  <c:v>4.2</c:v>
                </c:pt>
                <c:pt idx="16">
                  <c:v>4.4000000000000004</c:v>
                </c:pt>
                <c:pt idx="17">
                  <c:v>4.6000000000000005</c:v>
                </c:pt>
                <c:pt idx="18">
                  <c:v>4.8</c:v>
                </c:pt>
                <c:pt idx="19">
                  <c:v>5</c:v>
                </c:pt>
                <c:pt idx="20">
                  <c:v>5.2</c:v>
                </c:pt>
                <c:pt idx="21">
                  <c:v>5.4</c:v>
                </c:pt>
                <c:pt idx="22">
                  <c:v>5.6000000000000005</c:v>
                </c:pt>
                <c:pt idx="23">
                  <c:v>5.8000000000000007</c:v>
                </c:pt>
                <c:pt idx="24">
                  <c:v>6.0000000000000009</c:v>
                </c:pt>
                <c:pt idx="25">
                  <c:v>6.2</c:v>
                </c:pt>
                <c:pt idx="26">
                  <c:v>6.4</c:v>
                </c:pt>
                <c:pt idx="27">
                  <c:v>6.6000000000000005</c:v>
                </c:pt>
                <c:pt idx="28">
                  <c:v>6.8000000000000007</c:v>
                </c:pt>
                <c:pt idx="29">
                  <c:v>7.0000000000000009</c:v>
                </c:pt>
                <c:pt idx="30">
                  <c:v>7.2</c:v>
                </c:pt>
                <c:pt idx="31">
                  <c:v>7.4</c:v>
                </c:pt>
              </c:numCache>
            </c:numRef>
          </c:cat>
          <c:val>
            <c:numRef>
              <c:f>'Промежуточный расчет'!$AT$17:$BY$17</c:f>
              <c:numCache>
                <c:formatCode>General</c:formatCode>
                <c:ptCount val="32"/>
                <c:pt idx="0">
                  <c:v>8.1169482224196852</c:v>
                </c:pt>
                <c:pt idx="1">
                  <c:v>9.3573337642111625</c:v>
                </c:pt>
                <c:pt idx="2">
                  <c:v>10.592376997266605</c:v>
                </c:pt>
                <c:pt idx="3">
                  <c:v>11.820987423562539</c:v>
                </c:pt>
                <c:pt idx="4">
                  <c:v>13.042100238110999</c:v>
                </c:pt>
                <c:pt idx="5">
                  <c:v>14.254676328959533</c:v>
                </c:pt>
                <c:pt idx="6">
                  <c:v>15.457702277191192</c:v>
                </c:pt>
                <c:pt idx="7">
                  <c:v>16.650190356924544</c:v>
                </c:pt>
                <c:pt idx="8">
                  <c:v>17.831178535313654</c:v>
                </c:pt>
                <c:pt idx="9">
                  <c:v>18.999730472548116</c:v>
                </c:pt>
                <c:pt idx="10">
                  <c:v>20.154935521853012</c:v>
                </c:pt>
                <c:pt idx="11">
                  <c:v>21.295908729488957</c:v>
                </c:pt>
                <c:pt idx="12">
                  <c:v>22.421790834752056</c:v>
                </c:pt>
                <c:pt idx="13">
                  <c:v>23.531748269973924</c:v>
                </c:pt>
                <c:pt idx="14">
                  <c:v>24.624973160521705</c:v>
                </c:pt>
                <c:pt idx="15">
                  <c:v>25.700683324798025</c:v>
                </c:pt>
                <c:pt idx="16">
                  <c:v>26.75812227424105</c:v>
                </c:pt>
                <c:pt idx="17">
                  <c:v>27.796559213324429</c:v>
                </c:pt>
                <c:pt idx="18">
                  <c:v>28.815289039557332</c:v>
                </c:pt>
                <c:pt idx="19">
                  <c:v>29.813632343484439</c:v>
                </c:pt>
                <c:pt idx="20">
                  <c:v>30.790935408685939</c:v>
                </c:pt>
                <c:pt idx="21">
                  <c:v>31.746570211777527</c:v>
                </c:pt>
                <c:pt idx="22">
                  <c:v>32.679934422410412</c:v>
                </c:pt>
                <c:pt idx="23">
                  <c:v>33.590451403271331</c:v>
                </c:pt>
                <c:pt idx="24">
                  <c:v>34.477570210082476</c:v>
                </c:pt>
                <c:pt idx="25">
                  <c:v>35.340765591601595</c:v>
                </c:pt>
                <c:pt idx="26">
                  <c:v>36.179537989621949</c:v>
                </c:pt>
                <c:pt idx="27">
                  <c:v>36.993413538972263</c:v>
                </c:pt>
                <c:pt idx="28">
                  <c:v>37.781944067516832</c:v>
                </c:pt>
                <c:pt idx="29">
                  <c:v>38.544707096155427</c:v>
                </c:pt>
                <c:pt idx="30">
                  <c:v>39.281305838823315</c:v>
                </c:pt>
                <c:pt idx="31">
                  <c:v>39.991369202491299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343-4B58-A06C-13F6CFC70045}"/>
            </c:ext>
          </c:extLst>
        </c:ser>
        <c:ser>
          <c:idx val="6"/>
          <c:order val="6"/>
          <c:tx>
            <c:v>P_out - 0,8 МПа</c:v>
          </c:tx>
          <c:marker>
            <c:symbol val="none"/>
          </c:marker>
          <c:cat>
            <c:numRef>
              <c:f>'Промежуточный расчет'!$AT$11:$BY$11</c:f>
              <c:numCache>
                <c:formatCode>General</c:formatCode>
                <c:ptCount val="32"/>
                <c:pt idx="0">
                  <c:v>1.2</c:v>
                </c:pt>
                <c:pt idx="1">
                  <c:v>1.4</c:v>
                </c:pt>
                <c:pt idx="2">
                  <c:v>1.6</c:v>
                </c:pt>
                <c:pt idx="3">
                  <c:v>1.8</c:v>
                </c:pt>
                <c:pt idx="4">
                  <c:v>2</c:v>
                </c:pt>
                <c:pt idx="5">
                  <c:v>2.2000000000000002</c:v>
                </c:pt>
                <c:pt idx="6">
                  <c:v>2.4000000000000004</c:v>
                </c:pt>
                <c:pt idx="7">
                  <c:v>2.6</c:v>
                </c:pt>
                <c:pt idx="8">
                  <c:v>2.8</c:v>
                </c:pt>
                <c:pt idx="9">
                  <c:v>3</c:v>
                </c:pt>
                <c:pt idx="10">
                  <c:v>3.2</c:v>
                </c:pt>
                <c:pt idx="11">
                  <c:v>3.4000000000000004</c:v>
                </c:pt>
                <c:pt idx="12">
                  <c:v>3.6000000000000005</c:v>
                </c:pt>
                <c:pt idx="13">
                  <c:v>3.8</c:v>
                </c:pt>
                <c:pt idx="14">
                  <c:v>4</c:v>
                </c:pt>
                <c:pt idx="15">
                  <c:v>4.2</c:v>
                </c:pt>
                <c:pt idx="16">
                  <c:v>4.4000000000000004</c:v>
                </c:pt>
                <c:pt idx="17">
                  <c:v>4.6000000000000005</c:v>
                </c:pt>
                <c:pt idx="18">
                  <c:v>4.8</c:v>
                </c:pt>
                <c:pt idx="19">
                  <c:v>5</c:v>
                </c:pt>
                <c:pt idx="20">
                  <c:v>5.2</c:v>
                </c:pt>
                <c:pt idx="21">
                  <c:v>5.4</c:v>
                </c:pt>
                <c:pt idx="22">
                  <c:v>5.6000000000000005</c:v>
                </c:pt>
                <c:pt idx="23">
                  <c:v>5.8000000000000007</c:v>
                </c:pt>
                <c:pt idx="24">
                  <c:v>6.0000000000000009</c:v>
                </c:pt>
                <c:pt idx="25">
                  <c:v>6.2</c:v>
                </c:pt>
                <c:pt idx="26">
                  <c:v>6.4</c:v>
                </c:pt>
                <c:pt idx="27">
                  <c:v>6.6000000000000005</c:v>
                </c:pt>
                <c:pt idx="28">
                  <c:v>6.8000000000000007</c:v>
                </c:pt>
                <c:pt idx="29">
                  <c:v>7.0000000000000009</c:v>
                </c:pt>
                <c:pt idx="30">
                  <c:v>7.2</c:v>
                </c:pt>
                <c:pt idx="31">
                  <c:v>7.4</c:v>
                </c:pt>
              </c:numCache>
            </c:numRef>
          </c:cat>
          <c:val>
            <c:numRef>
              <c:f>'Промежуточный расчет'!$AT$18:$BY$18</c:f>
              <c:numCache>
                <c:formatCode>General</c:formatCode>
                <c:ptCount val="32"/>
                <c:pt idx="0">
                  <c:v>7.4935585779357474</c:v>
                </c:pt>
                <c:pt idx="1">
                  <c:v>8.7348575121809962</c:v>
                </c:pt>
                <c:pt idx="2">
                  <c:v>9.9710017753480926</c:v>
                </c:pt>
                <c:pt idx="3">
                  <c:v>11.200897657784125</c:v>
                </c:pt>
                <c:pt idx="4">
                  <c:v>12.42347714287169</c:v>
                </c:pt>
                <c:pt idx="5">
                  <c:v>13.637697907028898</c:v>
                </c:pt>
                <c:pt idx="6">
                  <c:v>14.842543319709357</c:v>
                </c:pt>
                <c:pt idx="7">
                  <c:v>16.037022443402201</c:v>
                </c:pt>
                <c:pt idx="8">
                  <c:v>17.220170033632051</c:v>
                </c:pt>
                <c:pt idx="9">
                  <c:v>18.391046538959067</c:v>
                </c:pt>
                <c:pt idx="10">
                  <c:v>19.548738100978895</c:v>
                </c:pt>
                <c:pt idx="11">
                  <c:v>20.692356554322703</c:v>
                </c:pt>
                <c:pt idx="12">
                  <c:v>21.821039426657158</c:v>
                </c:pt>
                <c:pt idx="13">
                  <c:v>22.933949938684446</c:v>
                </c:pt>
                <c:pt idx="14">
                  <c:v>24.03027700414226</c:v>
                </c:pt>
                <c:pt idx="15">
                  <c:v>25.109235229803797</c:v>
                </c:pt>
                <c:pt idx="16">
                  <c:v>26.170064915477781</c:v>
                </c:pt>
                <c:pt idx="17">
                  <c:v>27.212032054008418</c:v>
                </c:pt>
                <c:pt idx="18">
                  <c:v>28.234428331275449</c:v>
                </c:pt>
                <c:pt idx="19">
                  <c:v>29.236571126194104</c:v>
                </c:pt>
                <c:pt idx="20">
                  <c:v>30.217803510715143</c:v>
                </c:pt>
                <c:pt idx="21">
                  <c:v>31.177494249824818</c:v>
                </c:pt>
                <c:pt idx="22">
                  <c:v>32.115037801544901</c:v>
                </c:pt>
                <c:pt idx="23">
                  <c:v>33.029854316932671</c:v>
                </c:pt>
                <c:pt idx="24">
                  <c:v>33.921389640080918</c:v>
                </c:pt>
                <c:pt idx="25">
                  <c:v>34.789115308117935</c:v>
                </c:pt>
                <c:pt idx="26">
                  <c:v>35.632528551207528</c:v>
                </c:pt>
                <c:pt idx="27">
                  <c:v>36.451152292549011</c:v>
                </c:pt>
                <c:pt idx="28">
                  <c:v>37.244535148377217</c:v>
                </c:pt>
                <c:pt idx="29">
                  <c:v>38.012251427962489</c:v>
                </c:pt>
                <c:pt idx="30">
                  <c:v>38.753901133610647</c:v>
                </c:pt>
                <c:pt idx="31">
                  <c:v>39.469109960663069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343-4B58-A06C-13F6CFC70045}"/>
            </c:ext>
          </c:extLst>
        </c:ser>
        <c:ser>
          <c:idx val="7"/>
          <c:order val="7"/>
          <c:tx>
            <c:v>P_out - 0,9 МПа</c:v>
          </c:tx>
          <c:marker>
            <c:symbol val="none"/>
          </c:marker>
          <c:cat>
            <c:numRef>
              <c:f>'Промежуточный расчет'!$AT$11:$BY$11</c:f>
              <c:numCache>
                <c:formatCode>General</c:formatCode>
                <c:ptCount val="32"/>
                <c:pt idx="0">
                  <c:v>1.2</c:v>
                </c:pt>
                <c:pt idx="1">
                  <c:v>1.4</c:v>
                </c:pt>
                <c:pt idx="2">
                  <c:v>1.6</c:v>
                </c:pt>
                <c:pt idx="3">
                  <c:v>1.8</c:v>
                </c:pt>
                <c:pt idx="4">
                  <c:v>2</c:v>
                </c:pt>
                <c:pt idx="5">
                  <c:v>2.2000000000000002</c:v>
                </c:pt>
                <c:pt idx="6">
                  <c:v>2.4000000000000004</c:v>
                </c:pt>
                <c:pt idx="7">
                  <c:v>2.6</c:v>
                </c:pt>
                <c:pt idx="8">
                  <c:v>2.8</c:v>
                </c:pt>
                <c:pt idx="9">
                  <c:v>3</c:v>
                </c:pt>
                <c:pt idx="10">
                  <c:v>3.2</c:v>
                </c:pt>
                <c:pt idx="11">
                  <c:v>3.4000000000000004</c:v>
                </c:pt>
                <c:pt idx="12">
                  <c:v>3.6000000000000005</c:v>
                </c:pt>
                <c:pt idx="13">
                  <c:v>3.8</c:v>
                </c:pt>
                <c:pt idx="14">
                  <c:v>4</c:v>
                </c:pt>
                <c:pt idx="15">
                  <c:v>4.2</c:v>
                </c:pt>
                <c:pt idx="16">
                  <c:v>4.4000000000000004</c:v>
                </c:pt>
                <c:pt idx="17">
                  <c:v>4.6000000000000005</c:v>
                </c:pt>
                <c:pt idx="18">
                  <c:v>4.8</c:v>
                </c:pt>
                <c:pt idx="19">
                  <c:v>5</c:v>
                </c:pt>
                <c:pt idx="20">
                  <c:v>5.2</c:v>
                </c:pt>
                <c:pt idx="21">
                  <c:v>5.4</c:v>
                </c:pt>
                <c:pt idx="22">
                  <c:v>5.6000000000000005</c:v>
                </c:pt>
                <c:pt idx="23">
                  <c:v>5.8000000000000007</c:v>
                </c:pt>
                <c:pt idx="24">
                  <c:v>6.0000000000000009</c:v>
                </c:pt>
                <c:pt idx="25">
                  <c:v>6.2</c:v>
                </c:pt>
                <c:pt idx="26">
                  <c:v>6.4</c:v>
                </c:pt>
                <c:pt idx="27">
                  <c:v>6.6000000000000005</c:v>
                </c:pt>
                <c:pt idx="28">
                  <c:v>6.8000000000000007</c:v>
                </c:pt>
                <c:pt idx="29">
                  <c:v>7.0000000000000009</c:v>
                </c:pt>
                <c:pt idx="30">
                  <c:v>7.2</c:v>
                </c:pt>
                <c:pt idx="31">
                  <c:v>7.4</c:v>
                </c:pt>
              </c:numCache>
            </c:numRef>
          </c:cat>
          <c:val>
            <c:numRef>
              <c:f>'Промежуточный расчет'!$AT$19:$BY$19</c:f>
              <c:numCache>
                <c:formatCode>General</c:formatCode>
                <c:ptCount val="32"/>
                <c:pt idx="0">
                  <c:v>6.8701689334518115</c:v>
                </c:pt>
                <c:pt idx="1">
                  <c:v>8.1123812601508298</c:v>
                </c:pt>
                <c:pt idx="2">
                  <c:v>9.3496265534295802</c:v>
                </c:pt>
                <c:pt idx="3">
                  <c:v>10.580807892005712</c:v>
                </c:pt>
                <c:pt idx="4">
                  <c:v>11.804854047632384</c:v>
                </c:pt>
                <c:pt idx="5">
                  <c:v>13.020719485098262</c:v>
                </c:pt>
                <c:pt idx="6">
                  <c:v>14.227384362227523</c:v>
                </c:pt>
                <c:pt idx="7">
                  <c:v>15.423854529879854</c:v>
                </c:pt>
                <c:pt idx="8">
                  <c:v>16.609161531950448</c:v>
                </c:pt>
                <c:pt idx="9">
                  <c:v>17.782362605370018</c:v>
                </c:pt>
                <c:pt idx="10">
                  <c:v>18.942540680104777</c:v>
                </c:pt>
                <c:pt idx="11">
                  <c:v>20.088804379156443</c:v>
                </c:pt>
                <c:pt idx="12">
                  <c:v>21.220288018562261</c:v>
                </c:pt>
                <c:pt idx="13">
                  <c:v>22.336151607394964</c:v>
                </c:pt>
                <c:pt idx="14">
                  <c:v>23.435580847762814</c:v>
                </c:pt>
                <c:pt idx="15">
                  <c:v>24.51778713480957</c:v>
                </c:pt>
                <c:pt idx="16">
                  <c:v>25.582007556714508</c:v>
                </c:pt>
                <c:pt idx="17">
                  <c:v>26.627504894692407</c:v>
                </c:pt>
                <c:pt idx="18">
                  <c:v>27.653567622993563</c:v>
                </c:pt>
                <c:pt idx="19">
                  <c:v>28.659509908903765</c:v>
                </c:pt>
                <c:pt idx="20">
                  <c:v>29.644671612744343</c:v>
                </c:pt>
                <c:pt idx="21">
                  <c:v>30.608418287872102</c:v>
                </c:pt>
                <c:pt idx="22">
                  <c:v>31.550141180679375</c:v>
                </c:pt>
                <c:pt idx="23">
                  <c:v>32.469257230594017</c:v>
                </c:pt>
                <c:pt idx="24">
                  <c:v>33.365209070079359</c:v>
                </c:pt>
                <c:pt idx="25">
                  <c:v>34.237465024634261</c:v>
                </c:pt>
                <c:pt idx="26">
                  <c:v>35.085519112793101</c:v>
                </c:pt>
                <c:pt idx="27">
                  <c:v>35.908891046125746</c:v>
                </c:pt>
                <c:pt idx="28">
                  <c:v>36.707126229237588</c:v>
                </c:pt>
                <c:pt idx="29">
                  <c:v>37.479795759769537</c:v>
                </c:pt>
                <c:pt idx="30">
                  <c:v>38.226496428397979</c:v>
                </c:pt>
                <c:pt idx="31">
                  <c:v>38.946850718834838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343-4B58-A06C-13F6CFC70045}"/>
            </c:ext>
          </c:extLst>
        </c:ser>
        <c:ser>
          <c:idx val="8"/>
          <c:order val="8"/>
          <c:tx>
            <c:v>P_out - 1 МПа</c:v>
          </c:tx>
          <c:marker>
            <c:symbol val="none"/>
          </c:marker>
          <c:cat>
            <c:numRef>
              <c:f>'Промежуточный расчет'!$AT$11:$BY$11</c:f>
              <c:numCache>
                <c:formatCode>General</c:formatCode>
                <c:ptCount val="32"/>
                <c:pt idx="0">
                  <c:v>1.2</c:v>
                </c:pt>
                <c:pt idx="1">
                  <c:v>1.4</c:v>
                </c:pt>
                <c:pt idx="2">
                  <c:v>1.6</c:v>
                </c:pt>
                <c:pt idx="3">
                  <c:v>1.8</c:v>
                </c:pt>
                <c:pt idx="4">
                  <c:v>2</c:v>
                </c:pt>
                <c:pt idx="5">
                  <c:v>2.2000000000000002</c:v>
                </c:pt>
                <c:pt idx="6">
                  <c:v>2.4000000000000004</c:v>
                </c:pt>
                <c:pt idx="7">
                  <c:v>2.6</c:v>
                </c:pt>
                <c:pt idx="8">
                  <c:v>2.8</c:v>
                </c:pt>
                <c:pt idx="9">
                  <c:v>3</c:v>
                </c:pt>
                <c:pt idx="10">
                  <c:v>3.2</c:v>
                </c:pt>
                <c:pt idx="11">
                  <c:v>3.4000000000000004</c:v>
                </c:pt>
                <c:pt idx="12">
                  <c:v>3.6000000000000005</c:v>
                </c:pt>
                <c:pt idx="13">
                  <c:v>3.8</c:v>
                </c:pt>
                <c:pt idx="14">
                  <c:v>4</c:v>
                </c:pt>
                <c:pt idx="15">
                  <c:v>4.2</c:v>
                </c:pt>
                <c:pt idx="16">
                  <c:v>4.4000000000000004</c:v>
                </c:pt>
                <c:pt idx="17">
                  <c:v>4.6000000000000005</c:v>
                </c:pt>
                <c:pt idx="18">
                  <c:v>4.8</c:v>
                </c:pt>
                <c:pt idx="19">
                  <c:v>5</c:v>
                </c:pt>
                <c:pt idx="20">
                  <c:v>5.2</c:v>
                </c:pt>
                <c:pt idx="21">
                  <c:v>5.4</c:v>
                </c:pt>
                <c:pt idx="22">
                  <c:v>5.6000000000000005</c:v>
                </c:pt>
                <c:pt idx="23">
                  <c:v>5.8000000000000007</c:v>
                </c:pt>
                <c:pt idx="24">
                  <c:v>6.0000000000000009</c:v>
                </c:pt>
                <c:pt idx="25">
                  <c:v>6.2</c:v>
                </c:pt>
                <c:pt idx="26">
                  <c:v>6.4</c:v>
                </c:pt>
                <c:pt idx="27">
                  <c:v>6.6000000000000005</c:v>
                </c:pt>
                <c:pt idx="28">
                  <c:v>6.8000000000000007</c:v>
                </c:pt>
                <c:pt idx="29">
                  <c:v>7.0000000000000009</c:v>
                </c:pt>
                <c:pt idx="30">
                  <c:v>7.2</c:v>
                </c:pt>
                <c:pt idx="31">
                  <c:v>7.4</c:v>
                </c:pt>
              </c:numCache>
            </c:numRef>
          </c:cat>
          <c:val>
            <c:numRef>
              <c:f>'Промежуточный расчет'!$AT$20:$BY$20</c:f>
              <c:numCache>
                <c:formatCode>General</c:formatCode>
                <c:ptCount val="32"/>
                <c:pt idx="0">
                  <c:v>6.2467792889678737</c:v>
                </c:pt>
                <c:pt idx="1">
                  <c:v>7.4899050081206635</c:v>
                </c:pt>
                <c:pt idx="2">
                  <c:v>8.7282513315110695</c:v>
                </c:pt>
                <c:pt idx="3">
                  <c:v>9.9607181262273006</c:v>
                </c:pt>
                <c:pt idx="4">
                  <c:v>11.186230952393075</c:v>
                </c:pt>
                <c:pt idx="5">
                  <c:v>12.403741063167626</c:v>
                </c:pt>
                <c:pt idx="6">
                  <c:v>13.612225404745688</c:v>
                </c:pt>
                <c:pt idx="7">
                  <c:v>14.810686616357509</c:v>
                </c:pt>
                <c:pt idx="8">
                  <c:v>15.998153030268845</c:v>
                </c:pt>
                <c:pt idx="9">
                  <c:v>17.173678671780969</c:v>
                </c:pt>
                <c:pt idx="10">
                  <c:v>18.336343259230652</c:v>
                </c:pt>
                <c:pt idx="11">
                  <c:v>19.485252203990186</c:v>
                </c:pt>
                <c:pt idx="12">
                  <c:v>20.619536610467364</c:v>
                </c:pt>
                <c:pt idx="13">
                  <c:v>21.738353276105482</c:v>
                </c:pt>
                <c:pt idx="14">
                  <c:v>22.840884691383369</c:v>
                </c:pt>
                <c:pt idx="15">
                  <c:v>23.926339039815339</c:v>
                </c:pt>
                <c:pt idx="16">
                  <c:v>24.993950197951236</c:v>
                </c:pt>
                <c:pt idx="17">
                  <c:v>26.042977735376397</c:v>
                </c:pt>
                <c:pt idx="18">
                  <c:v>27.072706914711677</c:v>
                </c:pt>
                <c:pt idx="19">
                  <c:v>28.082448691613433</c:v>
                </c:pt>
                <c:pt idx="20">
                  <c:v>29.071539714773547</c:v>
                </c:pt>
                <c:pt idx="21">
                  <c:v>30.039342325919389</c:v>
                </c:pt>
                <c:pt idx="22">
                  <c:v>30.985244559813861</c:v>
                </c:pt>
                <c:pt idx="23">
                  <c:v>31.908660144255368</c:v>
                </c:pt>
                <c:pt idx="24">
                  <c:v>32.809028500077801</c:v>
                </c:pt>
                <c:pt idx="25">
                  <c:v>33.685814741150601</c:v>
                </c:pt>
                <c:pt idx="26">
                  <c:v>34.538509674378687</c:v>
                </c:pt>
                <c:pt idx="27">
                  <c:v>35.366629799702487</c:v>
                </c:pt>
                <c:pt idx="28">
                  <c:v>36.169717310097973</c:v>
                </c:pt>
                <c:pt idx="29">
                  <c:v>36.947340091576599</c:v>
                </c:pt>
                <c:pt idx="30">
                  <c:v>37.699091723185312</c:v>
                </c:pt>
                <c:pt idx="31">
                  <c:v>38.424591477006615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343-4B58-A06C-13F6CFC70045}"/>
            </c:ext>
          </c:extLst>
        </c:ser>
        <c:ser>
          <c:idx val="9"/>
          <c:order val="9"/>
          <c:tx>
            <c:v>P_out - 1,1 МПа</c:v>
          </c:tx>
          <c:marker>
            <c:symbol val="none"/>
          </c:marker>
          <c:cat>
            <c:numRef>
              <c:f>'Промежуточный расчет'!$AT$11:$BY$11</c:f>
              <c:numCache>
                <c:formatCode>General</c:formatCode>
                <c:ptCount val="32"/>
                <c:pt idx="0">
                  <c:v>1.2</c:v>
                </c:pt>
                <c:pt idx="1">
                  <c:v>1.4</c:v>
                </c:pt>
                <c:pt idx="2">
                  <c:v>1.6</c:v>
                </c:pt>
                <c:pt idx="3">
                  <c:v>1.8</c:v>
                </c:pt>
                <c:pt idx="4">
                  <c:v>2</c:v>
                </c:pt>
                <c:pt idx="5">
                  <c:v>2.2000000000000002</c:v>
                </c:pt>
                <c:pt idx="6">
                  <c:v>2.4000000000000004</c:v>
                </c:pt>
                <c:pt idx="7">
                  <c:v>2.6</c:v>
                </c:pt>
                <c:pt idx="8">
                  <c:v>2.8</c:v>
                </c:pt>
                <c:pt idx="9">
                  <c:v>3</c:v>
                </c:pt>
                <c:pt idx="10">
                  <c:v>3.2</c:v>
                </c:pt>
                <c:pt idx="11">
                  <c:v>3.4000000000000004</c:v>
                </c:pt>
                <c:pt idx="12">
                  <c:v>3.6000000000000005</c:v>
                </c:pt>
                <c:pt idx="13">
                  <c:v>3.8</c:v>
                </c:pt>
                <c:pt idx="14">
                  <c:v>4</c:v>
                </c:pt>
                <c:pt idx="15">
                  <c:v>4.2</c:v>
                </c:pt>
                <c:pt idx="16">
                  <c:v>4.4000000000000004</c:v>
                </c:pt>
                <c:pt idx="17">
                  <c:v>4.6000000000000005</c:v>
                </c:pt>
                <c:pt idx="18">
                  <c:v>4.8</c:v>
                </c:pt>
                <c:pt idx="19">
                  <c:v>5</c:v>
                </c:pt>
                <c:pt idx="20">
                  <c:v>5.2</c:v>
                </c:pt>
                <c:pt idx="21">
                  <c:v>5.4</c:v>
                </c:pt>
                <c:pt idx="22">
                  <c:v>5.6000000000000005</c:v>
                </c:pt>
                <c:pt idx="23">
                  <c:v>5.8000000000000007</c:v>
                </c:pt>
                <c:pt idx="24">
                  <c:v>6.0000000000000009</c:v>
                </c:pt>
                <c:pt idx="25">
                  <c:v>6.2</c:v>
                </c:pt>
                <c:pt idx="26">
                  <c:v>6.4</c:v>
                </c:pt>
                <c:pt idx="27">
                  <c:v>6.6000000000000005</c:v>
                </c:pt>
                <c:pt idx="28">
                  <c:v>6.8000000000000007</c:v>
                </c:pt>
                <c:pt idx="29">
                  <c:v>7.0000000000000009</c:v>
                </c:pt>
                <c:pt idx="30">
                  <c:v>7.2</c:v>
                </c:pt>
                <c:pt idx="31">
                  <c:v>7.4</c:v>
                </c:pt>
              </c:numCache>
            </c:numRef>
          </c:cat>
          <c:val>
            <c:numRef>
              <c:f>'Промежуточный расчет'!$AT$21:$BY$21</c:f>
              <c:numCache>
                <c:formatCode>General</c:formatCode>
                <c:ptCount val="32"/>
                <c:pt idx="0">
                  <c:v>5.623389644483936</c:v>
                </c:pt>
                <c:pt idx="1">
                  <c:v>6.8674287560904972</c:v>
                </c:pt>
                <c:pt idx="2">
                  <c:v>8.1068761095925588</c:v>
                </c:pt>
                <c:pt idx="3">
                  <c:v>9.3406283604488873</c:v>
                </c:pt>
                <c:pt idx="4">
                  <c:v>10.567607857153767</c:v>
                </c:pt>
                <c:pt idx="5">
                  <c:v>11.78676264123699</c:v>
                </c:pt>
                <c:pt idx="6">
                  <c:v>12.997066447263853</c:v>
                </c:pt>
                <c:pt idx="7">
                  <c:v>14.197518702835165</c:v>
                </c:pt>
                <c:pt idx="8">
                  <c:v>15.387144528587243</c:v>
                </c:pt>
                <c:pt idx="9">
                  <c:v>16.56499473819192</c:v>
                </c:pt>
                <c:pt idx="10">
                  <c:v>17.730145838356535</c:v>
                </c:pt>
                <c:pt idx="11">
                  <c:v>18.881700028823929</c:v>
                </c:pt>
                <c:pt idx="12">
                  <c:v>20.018785202372463</c:v>
                </c:pt>
                <c:pt idx="13">
                  <c:v>21.140554944816</c:v>
                </c:pt>
                <c:pt idx="14">
                  <c:v>22.246188535003924</c:v>
                </c:pt>
                <c:pt idx="15">
                  <c:v>23.334890944821108</c:v>
                </c:pt>
                <c:pt idx="16">
                  <c:v>24.405892839187963</c:v>
                </c:pt>
                <c:pt idx="17">
                  <c:v>25.458450576060383</c:v>
                </c:pt>
                <c:pt idx="18">
                  <c:v>26.491846206429788</c:v>
                </c:pt>
                <c:pt idx="19">
                  <c:v>27.505387474323097</c:v>
                </c:pt>
                <c:pt idx="20">
                  <c:v>28.498407816802743</c:v>
                </c:pt>
                <c:pt idx="21">
                  <c:v>29.47026636396668</c:v>
                </c:pt>
                <c:pt idx="22">
                  <c:v>30.420347938948339</c:v>
                </c:pt>
                <c:pt idx="23">
                  <c:v>31.348063057916715</c:v>
                </c:pt>
                <c:pt idx="24">
                  <c:v>32.252847930076243</c:v>
                </c:pt>
                <c:pt idx="25">
                  <c:v>33.134164457666934</c:v>
                </c:pt>
                <c:pt idx="26">
                  <c:v>33.991500235964267</c:v>
                </c:pt>
                <c:pt idx="27">
                  <c:v>34.824368553279228</c:v>
                </c:pt>
                <c:pt idx="28">
                  <c:v>35.632308390958357</c:v>
                </c:pt>
                <c:pt idx="29">
                  <c:v>36.414884423383654</c:v>
                </c:pt>
                <c:pt idx="30">
                  <c:v>37.171687017972644</c:v>
                </c:pt>
                <c:pt idx="31">
                  <c:v>37.902332235178385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343-4B58-A06C-13F6CFC70045}"/>
            </c:ext>
          </c:extLst>
        </c:ser>
        <c:ser>
          <c:idx val="10"/>
          <c:order val="10"/>
          <c:tx>
            <c:v>P_out - 1,2 МПа</c:v>
          </c:tx>
          <c:marker>
            <c:symbol val="none"/>
          </c:marker>
          <c:cat>
            <c:numRef>
              <c:f>'Промежуточный расчет'!$AT$11:$BY$11</c:f>
              <c:numCache>
                <c:formatCode>General</c:formatCode>
                <c:ptCount val="32"/>
                <c:pt idx="0">
                  <c:v>1.2</c:v>
                </c:pt>
                <c:pt idx="1">
                  <c:v>1.4</c:v>
                </c:pt>
                <c:pt idx="2">
                  <c:v>1.6</c:v>
                </c:pt>
                <c:pt idx="3">
                  <c:v>1.8</c:v>
                </c:pt>
                <c:pt idx="4">
                  <c:v>2</c:v>
                </c:pt>
                <c:pt idx="5">
                  <c:v>2.2000000000000002</c:v>
                </c:pt>
                <c:pt idx="6">
                  <c:v>2.4000000000000004</c:v>
                </c:pt>
                <c:pt idx="7">
                  <c:v>2.6</c:v>
                </c:pt>
                <c:pt idx="8">
                  <c:v>2.8</c:v>
                </c:pt>
                <c:pt idx="9">
                  <c:v>3</c:v>
                </c:pt>
                <c:pt idx="10">
                  <c:v>3.2</c:v>
                </c:pt>
                <c:pt idx="11">
                  <c:v>3.4000000000000004</c:v>
                </c:pt>
                <c:pt idx="12">
                  <c:v>3.6000000000000005</c:v>
                </c:pt>
                <c:pt idx="13">
                  <c:v>3.8</c:v>
                </c:pt>
                <c:pt idx="14">
                  <c:v>4</c:v>
                </c:pt>
                <c:pt idx="15">
                  <c:v>4.2</c:v>
                </c:pt>
                <c:pt idx="16">
                  <c:v>4.4000000000000004</c:v>
                </c:pt>
                <c:pt idx="17">
                  <c:v>4.6000000000000005</c:v>
                </c:pt>
                <c:pt idx="18">
                  <c:v>4.8</c:v>
                </c:pt>
                <c:pt idx="19">
                  <c:v>5</c:v>
                </c:pt>
                <c:pt idx="20">
                  <c:v>5.2</c:v>
                </c:pt>
                <c:pt idx="21">
                  <c:v>5.4</c:v>
                </c:pt>
                <c:pt idx="22">
                  <c:v>5.6000000000000005</c:v>
                </c:pt>
                <c:pt idx="23">
                  <c:v>5.8000000000000007</c:v>
                </c:pt>
                <c:pt idx="24">
                  <c:v>6.0000000000000009</c:v>
                </c:pt>
                <c:pt idx="25">
                  <c:v>6.2</c:v>
                </c:pt>
                <c:pt idx="26">
                  <c:v>6.4</c:v>
                </c:pt>
                <c:pt idx="27">
                  <c:v>6.6000000000000005</c:v>
                </c:pt>
                <c:pt idx="28">
                  <c:v>6.8000000000000007</c:v>
                </c:pt>
                <c:pt idx="29">
                  <c:v>7.0000000000000009</c:v>
                </c:pt>
                <c:pt idx="30">
                  <c:v>7.2</c:v>
                </c:pt>
                <c:pt idx="31">
                  <c:v>7.4</c:v>
                </c:pt>
              </c:numCache>
            </c:numRef>
          </c:cat>
          <c:val>
            <c:numRef>
              <c:f>'Промежуточный расчет'!$AT$22:$BY$22</c:f>
              <c:numCache>
                <c:formatCode>General</c:formatCode>
                <c:ptCount val="32"/>
                <c:pt idx="0">
                  <c:v>5</c:v>
                </c:pt>
                <c:pt idx="1">
                  <c:v>6.2449525040603318</c:v>
                </c:pt>
                <c:pt idx="2">
                  <c:v>7.4855008876740472</c:v>
                </c:pt>
                <c:pt idx="3">
                  <c:v>8.7205385946704759</c:v>
                </c:pt>
                <c:pt idx="4">
                  <c:v>9.9489847619144598</c:v>
                </c:pt>
                <c:pt idx="5">
                  <c:v>11.169784219306356</c:v>
                </c:pt>
                <c:pt idx="6">
                  <c:v>12.381907489782019</c:v>
                </c:pt>
                <c:pt idx="7">
                  <c:v>13.584350789312822</c:v>
                </c:pt>
                <c:pt idx="8">
                  <c:v>14.77613602690564</c:v>
                </c:pt>
                <c:pt idx="9">
                  <c:v>15.956310804602873</c:v>
                </c:pt>
                <c:pt idx="10">
                  <c:v>17.12394841748241</c:v>
                </c:pt>
                <c:pt idx="11">
                  <c:v>18.278147853657671</c:v>
                </c:pt>
                <c:pt idx="12">
                  <c:v>19.418033794277562</c:v>
                </c:pt>
                <c:pt idx="13">
                  <c:v>20.542756613526517</c:v>
                </c:pt>
                <c:pt idx="14">
                  <c:v>21.651492378624479</c:v>
                </c:pt>
                <c:pt idx="15">
                  <c:v>22.743442849826877</c:v>
                </c:pt>
                <c:pt idx="16">
                  <c:v>23.817835480424691</c:v>
                </c:pt>
                <c:pt idx="17">
                  <c:v>24.873923416744372</c:v>
                </c:pt>
                <c:pt idx="18">
                  <c:v>25.910985498147902</c:v>
                </c:pt>
                <c:pt idx="19">
                  <c:v>26.928326257032762</c:v>
                </c:pt>
                <c:pt idx="20">
                  <c:v>27.925275918831947</c:v>
                </c:pt>
                <c:pt idx="21">
                  <c:v>28.901190402013963</c:v>
                </c:pt>
                <c:pt idx="22">
                  <c:v>29.855451318082821</c:v>
                </c:pt>
                <c:pt idx="23">
                  <c:v>30.787465971578058</c:v>
                </c:pt>
                <c:pt idx="24">
                  <c:v>31.696667360074692</c:v>
                </c:pt>
                <c:pt idx="25">
                  <c:v>32.582514174183274</c:v>
                </c:pt>
                <c:pt idx="26">
                  <c:v>33.444490797549847</c:v>
                </c:pt>
                <c:pt idx="27">
                  <c:v>34.28210730685597</c:v>
                </c:pt>
                <c:pt idx="28">
                  <c:v>35.094899471818735</c:v>
                </c:pt>
                <c:pt idx="29">
                  <c:v>35.882428755190716</c:v>
                </c:pt>
                <c:pt idx="30">
                  <c:v>36.644282312759984</c:v>
                </c:pt>
                <c:pt idx="31">
                  <c:v>37.380072993350154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343-4B58-A06C-13F6CFC70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6718912"/>
        <c:axId val="996713504"/>
      </c:lineChart>
      <c:catAx>
        <c:axId val="996718912"/>
        <c:scaling>
          <c:orientation val="minMax"/>
        </c:scaling>
        <c:delete val="0"/>
        <c:axPos val="b"/>
        <c:majorGridlines>
          <c:spPr>
            <a:ln>
              <a:solidFill>
                <a:srgbClr val="C8C8C8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Входное давление - </a:t>
                </a:r>
                <a:r>
                  <a:rPr lang="en-US"/>
                  <a:t>P_in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6713504"/>
        <c:crosses val="autoZero"/>
        <c:auto val="1"/>
        <c:lblAlgn val="ctr"/>
        <c:lblOffset val="100"/>
        <c:noMultiLvlLbl val="0"/>
      </c:catAx>
      <c:valAx>
        <c:axId val="996713504"/>
        <c:scaling>
          <c:orientation val="minMax"/>
        </c:scaling>
        <c:delete val="0"/>
        <c:axPos val="l"/>
        <c:majorGridlines>
          <c:spPr>
            <a:ln>
              <a:solidFill>
                <a:srgbClr val="C8C8C8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Перепад температур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671891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wmf"/><Relationship Id="rId3" Type="http://schemas.openxmlformats.org/officeDocument/2006/relationships/image" Target="../media/image3.wmf"/><Relationship Id="rId7" Type="http://schemas.openxmlformats.org/officeDocument/2006/relationships/image" Target="../media/image7.wmf"/><Relationship Id="rId12" Type="http://schemas.openxmlformats.org/officeDocument/2006/relationships/image" Target="../media/image12.emf"/><Relationship Id="rId2" Type="http://schemas.openxmlformats.org/officeDocument/2006/relationships/image" Target="../media/image2.wmf"/><Relationship Id="rId1" Type="http://schemas.openxmlformats.org/officeDocument/2006/relationships/image" Target="../media/image1.wmf"/><Relationship Id="rId6" Type="http://schemas.openxmlformats.org/officeDocument/2006/relationships/image" Target="../media/image6.wmf"/><Relationship Id="rId11" Type="http://schemas.openxmlformats.org/officeDocument/2006/relationships/image" Target="../media/image11.wmf"/><Relationship Id="rId5" Type="http://schemas.openxmlformats.org/officeDocument/2006/relationships/image" Target="../media/image5.wmf"/><Relationship Id="rId10" Type="http://schemas.openxmlformats.org/officeDocument/2006/relationships/image" Target="../media/image10.wmf"/><Relationship Id="rId4" Type="http://schemas.openxmlformats.org/officeDocument/2006/relationships/image" Target="../media/image4.wmf"/><Relationship Id="rId9" Type="http://schemas.openxmlformats.org/officeDocument/2006/relationships/image" Target="../media/image9.wmf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wmf"/><Relationship Id="rId3" Type="http://schemas.openxmlformats.org/officeDocument/2006/relationships/image" Target="../media/image3.wmf"/><Relationship Id="rId7" Type="http://schemas.openxmlformats.org/officeDocument/2006/relationships/image" Target="../media/image7.wmf"/><Relationship Id="rId12" Type="http://schemas.openxmlformats.org/officeDocument/2006/relationships/image" Target="../media/image12.emf"/><Relationship Id="rId2" Type="http://schemas.openxmlformats.org/officeDocument/2006/relationships/image" Target="../media/image2.wmf"/><Relationship Id="rId1" Type="http://schemas.openxmlformats.org/officeDocument/2006/relationships/image" Target="../media/image1.wmf"/><Relationship Id="rId6" Type="http://schemas.openxmlformats.org/officeDocument/2006/relationships/image" Target="../media/image6.wmf"/><Relationship Id="rId11" Type="http://schemas.openxmlformats.org/officeDocument/2006/relationships/image" Target="../media/image11.wmf"/><Relationship Id="rId5" Type="http://schemas.openxmlformats.org/officeDocument/2006/relationships/image" Target="../media/image5.wmf"/><Relationship Id="rId10" Type="http://schemas.openxmlformats.org/officeDocument/2006/relationships/image" Target="../media/image10.wmf"/><Relationship Id="rId4" Type="http://schemas.openxmlformats.org/officeDocument/2006/relationships/image" Target="../media/image4.wmf"/><Relationship Id="rId9" Type="http://schemas.openxmlformats.org/officeDocument/2006/relationships/image" Target="../media/image9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44</xdr:row>
      <xdr:rowOff>0</xdr:rowOff>
    </xdr:from>
    <xdr:to>
      <xdr:col>9</xdr:col>
      <xdr:colOff>345440</xdr:colOff>
      <xdr:row>64</xdr:row>
      <xdr:rowOff>60960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F8222087-63ED-4FED-9E63-74952C1773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54</xdr:row>
      <xdr:rowOff>0</xdr:rowOff>
    </xdr:from>
    <xdr:to>
      <xdr:col>9</xdr:col>
      <xdr:colOff>345440</xdr:colOff>
      <xdr:row>74</xdr:row>
      <xdr:rowOff>68580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66FD37F8-0346-487F-9207-20D1AEF242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</xdr:colOff>
          <xdr:row>4</xdr:row>
          <xdr:rowOff>99060</xdr:rowOff>
        </xdr:from>
        <xdr:to>
          <xdr:col>5</xdr:col>
          <xdr:colOff>601980</xdr:colOff>
          <xdr:row>7</xdr:row>
          <xdr:rowOff>259080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Создание таблиц для исходных данных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144780</xdr:colOff>
          <xdr:row>10</xdr:row>
          <xdr:rowOff>121920</xdr:rowOff>
        </xdr:from>
        <xdr:to>
          <xdr:col>5</xdr:col>
          <xdr:colOff>601980</xdr:colOff>
          <xdr:row>10</xdr:row>
          <xdr:rowOff>723900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137160</xdr:colOff>
          <xdr:row>7</xdr:row>
          <xdr:rowOff>312420</xdr:rowOff>
        </xdr:from>
        <xdr:to>
          <xdr:col>5</xdr:col>
          <xdr:colOff>601980</xdr:colOff>
          <xdr:row>10</xdr:row>
          <xdr:rowOff>60960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Добавление таблиц к существующим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121920</xdr:colOff>
          <xdr:row>11</xdr:row>
          <xdr:rowOff>60960</xdr:rowOff>
        </xdr:from>
        <xdr:to>
          <xdr:col>5</xdr:col>
          <xdr:colOff>579120</xdr:colOff>
          <xdr:row>14</xdr:row>
          <xdr:rowOff>68580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Удаление выборочного диапазона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26722</xdr:colOff>
      <xdr:row>4</xdr:row>
      <xdr:rowOff>11636</xdr:rowOff>
    </xdr:from>
    <xdr:to>
      <xdr:col>24</xdr:col>
      <xdr:colOff>582704</xdr:colOff>
      <xdr:row>19</xdr:row>
      <xdr:rowOff>100853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4202163" y="840871"/>
          <a:ext cx="6607159" cy="4784482"/>
        </a:xfrm>
        <a:prstGeom prst="rect">
          <a:avLst/>
        </a:prstGeom>
        <a:solidFill>
          <a:schemeClr val="bg1"/>
        </a:solidFill>
        <a:ln w="571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200" b="1">
              <a:solidFill>
                <a:sysClr val="windowText" lastClr="000000"/>
              </a:solidFill>
            </a:rPr>
            <a:t>Ввод данных:</a:t>
          </a:r>
          <a:endParaRPr lang="ru-RU" sz="1200">
            <a:solidFill>
              <a:sysClr val="windowText" lastClr="000000"/>
            </a:solidFill>
          </a:endParaRPr>
        </a:p>
        <a:p>
          <a:pPr lvl="1"/>
          <a:r>
            <a:rPr lang="ru-RU" sz="1200">
              <a:solidFill>
                <a:sysClr val="windowText" lastClr="000000"/>
              </a:solidFill>
            </a:rPr>
            <a:t>В ячейку </a:t>
          </a:r>
          <a:r>
            <a:rPr lang="en-US" sz="1200" b="1">
              <a:solidFill>
                <a:sysClr val="windowText" lastClr="000000"/>
              </a:solidFill>
            </a:rPr>
            <a:t>B2</a:t>
          </a:r>
          <a:r>
            <a:rPr lang="en-US" sz="1200">
              <a:solidFill>
                <a:sysClr val="windowText" lastClr="000000"/>
              </a:solidFill>
            </a:rPr>
            <a:t> </a:t>
          </a:r>
          <a:r>
            <a:rPr lang="ru-RU" sz="1200">
              <a:solidFill>
                <a:sysClr val="windowText" lastClr="000000"/>
              </a:solidFill>
            </a:rPr>
            <a:t>впишите </a:t>
          </a:r>
          <a:r>
            <a:rPr lang="ru-RU" sz="1200" b="1">
              <a:solidFill>
                <a:sysClr val="windowText" lastClr="000000"/>
              </a:solidFill>
            </a:rPr>
            <a:t>входное давление</a:t>
          </a:r>
          <a:r>
            <a:rPr lang="ru-RU" sz="1200">
              <a:solidFill>
                <a:sysClr val="windowText" lastClr="000000"/>
              </a:solidFill>
            </a:rPr>
            <a:t> с нужным шагом.</a:t>
          </a:r>
        </a:p>
        <a:p>
          <a:pPr lvl="1"/>
          <a:r>
            <a:rPr lang="ru-RU" sz="1200">
              <a:solidFill>
                <a:sysClr val="windowText" lastClr="000000"/>
              </a:solidFill>
            </a:rPr>
            <a:t>В ячейку </a:t>
          </a:r>
          <a:r>
            <a:rPr lang="en-US" sz="1200" b="1">
              <a:solidFill>
                <a:sysClr val="windowText" lastClr="000000"/>
              </a:solidFill>
            </a:rPr>
            <a:t>B3</a:t>
          </a:r>
          <a:r>
            <a:rPr lang="en-US" sz="1200">
              <a:solidFill>
                <a:sysClr val="windowText" lastClr="000000"/>
              </a:solidFill>
            </a:rPr>
            <a:t> </a:t>
          </a:r>
          <a:r>
            <a:rPr lang="ru-RU" sz="1200">
              <a:solidFill>
                <a:sysClr val="windowText" lastClr="000000"/>
              </a:solidFill>
            </a:rPr>
            <a:t>впишите </a:t>
          </a:r>
          <a:r>
            <a:rPr lang="ru-RU" sz="1200" b="1">
              <a:solidFill>
                <a:sysClr val="windowText" lastClr="000000"/>
              </a:solidFill>
            </a:rPr>
            <a:t>выходное давление</a:t>
          </a:r>
          <a:r>
            <a:rPr lang="ru-RU" sz="1200">
              <a:solidFill>
                <a:sysClr val="windowText" lastClr="000000"/>
              </a:solidFill>
            </a:rPr>
            <a:t>.</a:t>
          </a:r>
        </a:p>
        <a:p>
          <a:pPr lvl="1"/>
          <a:r>
            <a:rPr lang="ru-RU" sz="1200">
              <a:solidFill>
                <a:sysClr val="windowText" lastClr="000000"/>
              </a:solidFill>
            </a:rPr>
            <a:t>В таблицу, начиная с ячейки </a:t>
          </a:r>
          <a:r>
            <a:rPr lang="en-US" sz="1200" b="1">
              <a:solidFill>
                <a:sysClr val="windowText" lastClr="000000"/>
              </a:solidFill>
            </a:rPr>
            <a:t>A11</a:t>
          </a:r>
          <a:r>
            <a:rPr lang="en-US" sz="1200">
              <a:solidFill>
                <a:sysClr val="windowText" lastClr="000000"/>
              </a:solidFill>
            </a:rPr>
            <a:t>, </a:t>
          </a:r>
          <a:r>
            <a:rPr lang="ru-RU" sz="1200">
              <a:solidFill>
                <a:sysClr val="windowText" lastClr="000000"/>
              </a:solidFill>
            </a:rPr>
            <a:t>впишите </a:t>
          </a:r>
          <a:r>
            <a:rPr lang="ru-RU" sz="1200" b="1">
              <a:solidFill>
                <a:sysClr val="windowText" lastClr="000000"/>
              </a:solidFill>
            </a:rPr>
            <a:t>состав газа</a:t>
          </a:r>
          <a:r>
            <a:rPr lang="ru-RU" sz="1200">
              <a:solidFill>
                <a:sysClr val="windowText" lastClr="000000"/>
              </a:solidFill>
            </a:rPr>
            <a:t>.</a:t>
          </a:r>
        </a:p>
        <a:p>
          <a:r>
            <a:rPr lang="ru-RU" sz="1200" b="1">
              <a:solidFill>
                <a:sysClr val="windowText" lastClr="000000"/>
              </a:solidFill>
            </a:rPr>
            <a:t>Очистка данных:</a:t>
          </a:r>
          <a:br>
            <a:rPr lang="ru-RU" sz="1200">
              <a:solidFill>
                <a:sysClr val="windowText" lastClr="000000"/>
              </a:solidFill>
            </a:rPr>
          </a:br>
          <a:r>
            <a:rPr lang="ru-RU" sz="1200">
              <a:solidFill>
                <a:sysClr val="windowText" lastClr="000000"/>
              </a:solidFill>
            </a:rPr>
            <a:t>Перед началом нового расчета удалите все таблицы, начиная с ячейки </a:t>
          </a:r>
          <a:r>
            <a:rPr lang="en-US" sz="1200" b="1">
              <a:solidFill>
                <a:sysClr val="windowText" lastClr="000000"/>
              </a:solidFill>
            </a:rPr>
            <a:t>G7</a:t>
          </a:r>
          <a:r>
            <a:rPr lang="en-US" sz="1200">
              <a:solidFill>
                <a:sysClr val="windowText" lastClr="000000"/>
              </a:solidFill>
            </a:rPr>
            <a:t>. </a:t>
          </a:r>
          <a:r>
            <a:rPr lang="ru-RU" sz="1200">
              <a:solidFill>
                <a:sysClr val="windowText" lastClr="000000"/>
              </a:solidFill>
            </a:rPr>
            <a:t>Для этого используйте кнопку </a:t>
          </a:r>
          <a:r>
            <a:rPr lang="ru-RU" sz="1200" b="1">
              <a:solidFill>
                <a:sysClr val="windowText" lastClr="000000"/>
              </a:solidFill>
            </a:rPr>
            <a:t>"Удаление выборочного диапазона"</a:t>
          </a:r>
          <a:r>
            <a:rPr lang="ru-RU" sz="1200">
              <a:solidFill>
                <a:sysClr val="windowText" lastClr="000000"/>
              </a:solidFill>
            </a:rPr>
            <a:t>.</a:t>
          </a:r>
        </a:p>
        <a:p>
          <a:r>
            <a:rPr lang="ru-RU" sz="1200" b="1">
              <a:solidFill>
                <a:sysClr val="windowText" lastClr="000000"/>
              </a:solidFill>
            </a:rPr>
            <a:t>Создание таблиц:</a:t>
          </a:r>
          <a:endParaRPr lang="ru-RU" sz="1200">
            <a:solidFill>
              <a:sysClr val="windowText" lastClr="000000"/>
            </a:solidFill>
          </a:endParaRPr>
        </a:p>
        <a:p>
          <a:pPr lvl="1"/>
          <a:r>
            <a:rPr lang="ru-RU" sz="1200">
              <a:solidFill>
                <a:sysClr val="windowText" lastClr="000000"/>
              </a:solidFill>
            </a:rPr>
            <a:t>Создайте новые таблицы для исходных данных.</a:t>
          </a:r>
        </a:p>
        <a:p>
          <a:pPr lvl="1"/>
          <a:r>
            <a:rPr lang="ru-RU" sz="1200">
              <a:solidFill>
                <a:sysClr val="windowText" lastClr="000000"/>
              </a:solidFill>
            </a:rPr>
            <a:t>Укажите количество таблиц и выберите, нужны ли таблицы для </a:t>
          </a:r>
          <a:r>
            <a:rPr lang="ru-RU" sz="1200" b="1">
              <a:solidFill>
                <a:sysClr val="windowText" lastClr="000000"/>
              </a:solidFill>
            </a:rPr>
            <a:t>регулятора</a:t>
          </a:r>
          <a:r>
            <a:rPr lang="ru-RU" sz="1200">
              <a:solidFill>
                <a:sysClr val="windowText" lastClr="000000"/>
              </a:solidFill>
            </a:rPr>
            <a:t> и </a:t>
          </a:r>
          <a:r>
            <a:rPr lang="ru-RU" sz="1200" b="1">
              <a:solidFill>
                <a:sysClr val="windowText" lastClr="000000"/>
              </a:solidFill>
            </a:rPr>
            <a:t>котельной</a:t>
          </a:r>
          <a:r>
            <a:rPr lang="ru-RU" sz="1200">
              <a:solidFill>
                <a:sysClr val="windowText" lastClr="000000"/>
              </a:solidFill>
            </a:rPr>
            <a:t>.</a:t>
          </a:r>
        </a:p>
        <a:p>
          <a:r>
            <a:rPr lang="ru-RU" sz="1200" b="1">
              <a:solidFill>
                <a:sysClr val="windowText" lastClr="000000"/>
              </a:solidFill>
            </a:rPr>
            <a:t>Добавление таблиц (если нужно):</a:t>
          </a:r>
          <a:br>
            <a:rPr lang="ru-RU" sz="1200">
              <a:solidFill>
                <a:sysClr val="windowText" lastClr="000000"/>
              </a:solidFill>
            </a:rPr>
          </a:br>
          <a:r>
            <a:rPr lang="ru-RU" sz="1200">
              <a:solidFill>
                <a:sysClr val="windowText" lastClr="000000"/>
              </a:solidFill>
            </a:rPr>
            <a:t>Если требуется добавить еще одну таблицу, используйте кнопку </a:t>
          </a:r>
          <a:r>
            <a:rPr lang="ru-RU" sz="1200" b="1">
              <a:solidFill>
                <a:sysClr val="windowText" lastClr="000000"/>
              </a:solidFill>
            </a:rPr>
            <a:t>"Добавление таблиц к существующим"</a:t>
          </a:r>
          <a:r>
            <a:rPr lang="ru-RU" sz="1200">
              <a:solidFill>
                <a:sysClr val="windowText" lastClr="000000"/>
              </a:solidFill>
            </a:rPr>
            <a:t>.</a:t>
          </a:r>
        </a:p>
        <a:p>
          <a:r>
            <a:rPr lang="ru-RU" sz="1200" b="1">
              <a:solidFill>
                <a:sysClr val="windowText" lastClr="000000"/>
              </a:solidFill>
            </a:rPr>
            <a:t>Задание начальных условий:</a:t>
          </a:r>
          <a:endParaRPr lang="ru-RU" sz="1200">
            <a:solidFill>
              <a:sysClr val="windowText" lastClr="000000"/>
            </a:solidFill>
          </a:endParaRPr>
        </a:p>
        <a:p>
          <a:pPr lvl="1"/>
          <a:r>
            <a:rPr lang="ru-RU" sz="1200">
              <a:solidFill>
                <a:sysClr val="windowText" lastClr="000000"/>
              </a:solidFill>
            </a:rPr>
            <a:t>После создания всех таблиц задайте начальные условия для каждой из них.</a:t>
          </a:r>
        </a:p>
        <a:p>
          <a:pPr lvl="1"/>
          <a:r>
            <a:rPr lang="ru-RU" sz="1200">
              <a:solidFill>
                <a:sysClr val="windowText" lastClr="000000"/>
              </a:solidFill>
            </a:rPr>
            <a:t>В таблицах для труб есть колонка </a:t>
          </a:r>
          <a:r>
            <a:rPr lang="ru-RU" sz="1200" b="1">
              <a:solidFill>
                <a:sysClr val="windowText" lastClr="000000"/>
              </a:solidFill>
            </a:rPr>
            <a:t>"До редуцирования"</a:t>
          </a:r>
          <a:r>
            <a:rPr lang="ru-RU" sz="1200">
              <a:solidFill>
                <a:sysClr val="windowText" lastClr="000000"/>
              </a:solidFill>
            </a:rPr>
            <a:t>.</a:t>
          </a:r>
        </a:p>
        <a:p>
          <a:pPr lvl="2"/>
          <a:r>
            <a:rPr lang="ru-RU" sz="1200">
              <a:solidFill>
                <a:sysClr val="windowText" lastClr="000000"/>
              </a:solidFill>
            </a:rPr>
            <a:t>Поставьте </a:t>
          </a:r>
          <a:r>
            <a:rPr lang="ru-RU" sz="1200" b="1">
              <a:solidFill>
                <a:sysClr val="windowText" lastClr="000000"/>
              </a:solidFill>
            </a:rPr>
            <a:t>"+"</a:t>
          </a:r>
          <a:r>
            <a:rPr lang="ru-RU" sz="1200">
              <a:solidFill>
                <a:sysClr val="windowText" lastClr="000000"/>
              </a:solidFill>
            </a:rPr>
            <a:t>, если труба идет </a:t>
          </a:r>
          <a:r>
            <a:rPr lang="ru-RU" sz="1200" b="1">
              <a:solidFill>
                <a:sysClr val="windowText" lastClr="000000"/>
              </a:solidFill>
            </a:rPr>
            <a:t>до регулятора</a:t>
          </a:r>
          <a:r>
            <a:rPr lang="ru-RU" sz="1200">
              <a:solidFill>
                <a:sysClr val="windowText" lastClr="000000"/>
              </a:solidFill>
            </a:rPr>
            <a:t>.</a:t>
          </a:r>
        </a:p>
        <a:p>
          <a:pPr lvl="2"/>
          <a:r>
            <a:rPr lang="ru-RU" sz="1200">
              <a:solidFill>
                <a:sysClr val="windowText" lastClr="000000"/>
              </a:solidFill>
            </a:rPr>
            <a:t>В противном случае укажите " - ".</a:t>
          </a:r>
        </a:p>
        <a:p>
          <a:r>
            <a:rPr lang="ru-RU" sz="1200" b="1">
              <a:solidFill>
                <a:sysClr val="windowText" lastClr="000000"/>
              </a:solidFill>
            </a:rPr>
            <a:t>Запуск расчета:</a:t>
          </a:r>
          <a:endParaRPr lang="ru-RU" sz="1200">
            <a:solidFill>
              <a:sysClr val="windowText" lastClr="000000"/>
            </a:solidFill>
          </a:endParaRPr>
        </a:p>
        <a:p>
          <a:pPr lvl="1"/>
          <a:r>
            <a:rPr lang="ru-RU" sz="1200">
              <a:solidFill>
                <a:sysClr val="windowText" lastClr="000000"/>
              </a:solidFill>
            </a:rPr>
            <a:t>После задания всех условий нажмите кнопку </a:t>
          </a:r>
          <a:r>
            <a:rPr lang="ru-RU" sz="1200" b="1">
              <a:solidFill>
                <a:sysClr val="windowText" lastClr="000000"/>
              </a:solidFill>
            </a:rPr>
            <a:t>"Расчет"</a:t>
          </a:r>
          <a:r>
            <a:rPr lang="ru-RU" sz="1200">
              <a:solidFill>
                <a:sysClr val="windowText" lastClr="000000"/>
              </a:solidFill>
            </a:rPr>
            <a:t>.</a:t>
          </a:r>
        </a:p>
        <a:p>
          <a:pPr lvl="1"/>
          <a:r>
            <a:rPr lang="ru-RU" sz="1200">
              <a:solidFill>
                <a:sysClr val="windowText" lastClr="000000"/>
              </a:solidFill>
            </a:rPr>
            <a:t>Дождитесь сообщения о завершении расчета.</a:t>
          </a:r>
        </a:p>
        <a:p>
          <a:pPr lvl="1"/>
          <a:r>
            <a:rPr lang="ru-RU" sz="1200">
              <a:solidFill>
                <a:sysClr val="windowText" lastClr="000000"/>
              </a:solidFill>
            </a:rPr>
            <a:t>Перейдите на вкладку </a:t>
          </a:r>
          <a:r>
            <a:rPr lang="ru-RU" sz="1200" b="1">
              <a:solidFill>
                <a:sysClr val="windowText" lastClr="000000"/>
              </a:solidFill>
            </a:rPr>
            <a:t>"Результат"</a:t>
          </a:r>
          <a:r>
            <a:rPr lang="ru-RU" sz="1200">
              <a:solidFill>
                <a:sysClr val="windowText" lastClr="000000"/>
              </a:solidFill>
            </a:rPr>
            <a:t> и в строке 1 впишите название вашего объекта.</a:t>
          </a:r>
        </a:p>
        <a:p>
          <a:br>
            <a:rPr lang="en-US" sz="1100" baseline="0"/>
          </a:br>
          <a:endParaRPr lang="ru-RU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19</xdr:row>
      <xdr:rowOff>147431</xdr:rowOff>
    </xdr:from>
    <xdr:ext cx="2443369" cy="6769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0" y="3224006"/>
              <a:ext cx="2443369" cy="6769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𝑉𝑚𝑎𝑥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1,15</m:t>
                        </m:r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𝑚𝑎𝑥</m:t>
                            </m:r>
                          </m:sub>
                        </m:sSub>
                      </m:num>
                      <m:den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514∗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𝐸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∗</m:t>
                        </m:r>
                        <m:rad>
                          <m:radPr>
                            <m:degHide m:val="on"/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f>
                              <m:f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𝐷</m:t>
                                </m:r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𝑃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1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𝑞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𝑛</m:t>
                                    </m:r>
                                  </m:sub>
                                </m:sSub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rad>
                      </m:den>
                    </m:f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0" y="3224006"/>
              <a:ext cx="2443369" cy="6769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𝐾</a:t>
              </a:r>
              <a:r>
                <a:rPr lang="ru-RU" sz="1400" b="0" i="0">
                  <a:latin typeface="Cambria Math" panose="02040503050406030204" pitchFamily="18" charset="0"/>
                </a:rPr>
                <a:t>_</a:t>
              </a:r>
              <a:r>
                <a:rPr lang="en-US" sz="1400" b="0" i="0">
                  <a:latin typeface="Cambria Math" panose="02040503050406030204" pitchFamily="18" charset="0"/>
                </a:rPr>
                <a:t>𝑉𝑚𝑎𝑥=(1,15𝑄_𝑚𝑎𝑥)/(514∗𝐸∗√((𝐷∗𝑃∗𝑃_1)/(𝑞_𝑛∗𝑇_1 )))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5</xdr:col>
      <xdr:colOff>588066</xdr:colOff>
      <xdr:row>19</xdr:row>
      <xdr:rowOff>165651</xdr:rowOff>
    </xdr:from>
    <xdr:ext cx="2443369" cy="6769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3636066" y="3242226"/>
              <a:ext cx="2443369" cy="6769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𝑉𝑚𝑖𝑛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1,15</m:t>
                        </m:r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𝑚𝑖𝑛</m:t>
                            </m:r>
                          </m:sub>
                        </m:sSub>
                      </m:num>
                      <m:den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514∗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𝐸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∗</m:t>
                        </m:r>
                        <m:rad>
                          <m:radPr>
                            <m:degHide m:val="on"/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f>
                              <m:f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𝐷</m:t>
                                </m:r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𝑃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1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𝑞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𝑛</m:t>
                                    </m:r>
                                  </m:sub>
                                </m:sSub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rad>
                      </m:den>
                    </m:f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3636066" y="3242226"/>
              <a:ext cx="2443369" cy="6769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𝐾</a:t>
              </a:r>
              <a:r>
                <a:rPr lang="ru-RU" sz="1400" b="0" i="0">
                  <a:latin typeface="Cambria Math" panose="02040503050406030204" pitchFamily="18" charset="0"/>
                </a:rPr>
                <a:t>_</a:t>
              </a:r>
              <a:r>
                <a:rPr lang="en-US" sz="1400" b="0" i="0">
                  <a:latin typeface="Cambria Math" panose="02040503050406030204" pitchFamily="18" charset="0"/>
                </a:rPr>
                <a:t>𝑉𝑚𝑖𝑛=(1,15𝑄_𝑚𝑖𝑛)/(514∗𝐸∗√((𝐷∗𝑃∗𝑃_1)/(𝑞_𝑛∗𝑇_1 )))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0</xdr:col>
      <xdr:colOff>115957</xdr:colOff>
      <xdr:row>28</xdr:row>
      <xdr:rowOff>125896</xdr:rowOff>
    </xdr:from>
    <xdr:ext cx="2443369" cy="6769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15957" y="4659796"/>
              <a:ext cx="2443369" cy="6769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𝑉𝑚𝑎𝑥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1,15</m:t>
                        </m:r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𝑚𝑎𝑥</m:t>
                            </m:r>
                          </m:sub>
                        </m:sSub>
                      </m:num>
                      <m:den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280∗</m:t>
                        </m:r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  <m:rad>
                          <m:radPr>
                            <m:degHide m:val="on"/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f>
                              <m:f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num>
                              <m:den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l-G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γ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𝑛</m:t>
                                    </m:r>
                                  </m:sub>
                                </m:sSub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rad>
                      </m:den>
                    </m:f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15957" y="4659796"/>
              <a:ext cx="2443369" cy="6769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𝐾</a:t>
              </a:r>
              <a:r>
                <a:rPr lang="ru-RU" sz="1400" b="0" i="0">
                  <a:latin typeface="Cambria Math" panose="02040503050406030204" pitchFamily="18" charset="0"/>
                </a:rPr>
                <a:t>_</a:t>
              </a:r>
              <a:r>
                <a:rPr lang="en-US" sz="1400" b="0" i="0">
                  <a:latin typeface="Cambria Math" panose="02040503050406030204" pitchFamily="18" charset="0"/>
                </a:rPr>
                <a:t>𝑉𝑚𝑎𝑥=(1,15𝑄_𝑚𝑎𝑥)/(280∗𝑃_1 √(1/(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γ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400" b="0" i="0">
                  <a:latin typeface="Cambria Math" panose="02040503050406030204" pitchFamily="18" charset="0"/>
                </a:rPr>
                <a:t>𝑛 𝑇_1 )))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6</xdr:col>
      <xdr:colOff>231912</xdr:colOff>
      <xdr:row>28</xdr:row>
      <xdr:rowOff>140804</xdr:rowOff>
    </xdr:from>
    <xdr:ext cx="2443369" cy="6769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3889512" y="4674704"/>
              <a:ext cx="2443369" cy="6769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𝑉𝑚𝑖𝑛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1,15</m:t>
                        </m:r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𝑚𝑖𝑛</m:t>
                            </m:r>
                          </m:sub>
                        </m:sSub>
                      </m:num>
                      <m:den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280∗</m:t>
                        </m:r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  <m:rad>
                          <m:radPr>
                            <m:degHide m:val="on"/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f>
                              <m:f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num>
                              <m:den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l-G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γ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𝑛</m:t>
                                    </m:r>
                                  </m:sub>
                                </m:sSub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rad>
                      </m:den>
                    </m:f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3889512" y="4674704"/>
              <a:ext cx="2443369" cy="6769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𝐾</a:t>
              </a:r>
              <a:r>
                <a:rPr lang="ru-RU" sz="1400" b="0" i="0">
                  <a:latin typeface="Cambria Math" panose="02040503050406030204" pitchFamily="18" charset="0"/>
                </a:rPr>
                <a:t>_</a:t>
              </a:r>
              <a:r>
                <a:rPr lang="en-US" sz="1400" b="0" i="0">
                  <a:latin typeface="Cambria Math" panose="02040503050406030204" pitchFamily="18" charset="0"/>
                </a:rPr>
                <a:t>𝑉𝑚𝑖𝑛=(1,15𝑄_𝑚𝑖𝑛)/(280∗𝑃_1 √(1/(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γ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400" b="0" i="0">
                  <a:latin typeface="Cambria Math" panose="02040503050406030204" pitchFamily="18" charset="0"/>
                </a:rPr>
                <a:t>𝑛 𝑇_1 )))</a:t>
              </a:r>
              <a:endParaRPr lang="ru-RU" sz="1400"/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4343553" y="8169518"/>
    <xdr:ext cx="1978200" cy="580777"/>
    <xdr:pic>
      <xdr:nvPicPr>
        <xdr:cNvPr id="17" name="Picture 25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/>
      </xdr:blipFill>
      <xdr:spPr>
        <a:xfrm>
          <a:off x="4343553" y="8169518"/>
          <a:ext cx="1978200" cy="580777"/>
        </a:xfrm>
        <a:prstGeom prst="rect">
          <a:avLst/>
        </a:prstGeom>
        <a:ln>
          <a:noFill/>
        </a:ln>
      </xdr:spPr>
    </xdr:pic>
    <xdr:clientData/>
  </xdr:absoluteAnchor>
  <xdr:absoluteAnchor>
    <xdr:pos x="3359712" y="9079274"/>
    <xdr:ext cx="2854785" cy="637216"/>
    <xdr:pic>
      <xdr:nvPicPr>
        <xdr:cNvPr id="18" name="Picture 26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/>
      </xdr:nvPicPr>
      <xdr:blipFill>
        <a:blip xmlns:r="http://schemas.openxmlformats.org/officeDocument/2006/relationships" r:embed="rId2" cstate="print"/>
        <a:stretch/>
      </xdr:blipFill>
      <xdr:spPr>
        <a:xfrm>
          <a:off x="3359712" y="9079274"/>
          <a:ext cx="2854785" cy="637216"/>
        </a:xfrm>
        <a:prstGeom prst="rect">
          <a:avLst/>
        </a:prstGeom>
        <a:ln>
          <a:noFill/>
        </a:ln>
      </xdr:spPr>
    </xdr:pic>
    <xdr:clientData/>
  </xdr:absoluteAnchor>
  <xdr:absoluteAnchor>
    <xdr:pos x="3614561" y="9988967"/>
    <xdr:ext cx="2321280" cy="578644"/>
    <xdr:pic>
      <xdr:nvPicPr>
        <xdr:cNvPr id="19" name="Picture 27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/>
      </xdr:nvPicPr>
      <xdr:blipFill>
        <a:blip xmlns:r="http://schemas.openxmlformats.org/officeDocument/2006/relationships" r:embed="rId3" cstate="print"/>
        <a:stretch/>
      </xdr:blipFill>
      <xdr:spPr>
        <a:xfrm>
          <a:off x="3614561" y="9988967"/>
          <a:ext cx="2321280" cy="578644"/>
        </a:xfrm>
        <a:prstGeom prst="rect">
          <a:avLst/>
        </a:prstGeom>
        <a:ln>
          <a:noFill/>
        </a:ln>
      </xdr:spPr>
    </xdr:pic>
    <xdr:clientData/>
  </xdr:absoluteAnchor>
  <xdr:absoluteAnchor>
    <xdr:pos x="3523857" y="10550739"/>
    <xdr:ext cx="3045105" cy="359608"/>
    <xdr:pic>
      <xdr:nvPicPr>
        <xdr:cNvPr id="20" name="Picture 28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/>
      </xdr:nvPicPr>
      <xdr:blipFill>
        <a:blip xmlns:r="http://schemas.openxmlformats.org/officeDocument/2006/relationships" r:embed="rId4" cstate="print"/>
        <a:stretch/>
      </xdr:blipFill>
      <xdr:spPr>
        <a:xfrm>
          <a:off x="3523857" y="10550739"/>
          <a:ext cx="3045105" cy="359608"/>
        </a:xfrm>
        <a:prstGeom prst="rect">
          <a:avLst/>
        </a:prstGeom>
        <a:ln>
          <a:noFill/>
        </a:ln>
      </xdr:spPr>
    </xdr:pic>
    <xdr:clientData/>
  </xdr:absoluteAnchor>
  <xdr:absoluteAnchor>
    <xdr:pos x="3716899" y="11733808"/>
    <xdr:ext cx="2578320" cy="402329"/>
    <xdr:pic>
      <xdr:nvPicPr>
        <xdr:cNvPr id="22" name="Picture 30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/>
      </xdr:nvPicPr>
      <xdr:blipFill>
        <a:blip xmlns:r="http://schemas.openxmlformats.org/officeDocument/2006/relationships" r:embed="rId5" cstate="print"/>
        <a:stretch/>
      </xdr:blipFill>
      <xdr:spPr>
        <a:xfrm>
          <a:off x="3716899" y="11733808"/>
          <a:ext cx="2578320" cy="402329"/>
        </a:xfrm>
        <a:prstGeom prst="rect">
          <a:avLst/>
        </a:prstGeom>
        <a:ln>
          <a:noFill/>
        </a:ln>
      </xdr:spPr>
    </xdr:pic>
    <xdr:clientData/>
  </xdr:absoluteAnchor>
  <xdr:absoluteAnchor>
    <xdr:pos x="3865442" y="12175175"/>
    <xdr:ext cx="2054520" cy="608017"/>
    <xdr:pic>
      <xdr:nvPicPr>
        <xdr:cNvPr id="23" name="Picture 31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/>
      </xdr:nvPicPr>
      <xdr:blipFill>
        <a:blip xmlns:r="http://schemas.openxmlformats.org/officeDocument/2006/relationships" r:embed="rId6" cstate="print"/>
        <a:stretch/>
      </xdr:blipFill>
      <xdr:spPr>
        <a:xfrm>
          <a:off x="3865442" y="12175175"/>
          <a:ext cx="2054520" cy="608017"/>
        </a:xfrm>
        <a:prstGeom prst="rect">
          <a:avLst/>
        </a:prstGeom>
        <a:ln>
          <a:noFill/>
        </a:ln>
      </xdr:spPr>
    </xdr:pic>
    <xdr:clientData/>
  </xdr:absoluteAnchor>
  <xdr:absoluteAnchor>
    <xdr:pos x="4787541" y="13034073"/>
    <xdr:ext cx="1768680" cy="667786"/>
    <xdr:pic>
      <xdr:nvPicPr>
        <xdr:cNvPr id="24" name="Picture 3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/>
      </xdr:nvPicPr>
      <xdr:blipFill>
        <a:blip xmlns:r="http://schemas.openxmlformats.org/officeDocument/2006/relationships" r:embed="rId7" cstate="print"/>
        <a:stretch/>
      </xdr:blipFill>
      <xdr:spPr>
        <a:xfrm>
          <a:off x="4787541" y="13034073"/>
          <a:ext cx="1768680" cy="667786"/>
        </a:xfrm>
        <a:prstGeom prst="rect">
          <a:avLst/>
        </a:prstGeom>
        <a:ln>
          <a:noFill/>
        </a:ln>
      </xdr:spPr>
    </xdr:pic>
    <xdr:clientData/>
  </xdr:absoluteAnchor>
  <xdr:absoluteAnchor>
    <xdr:pos x="3754014" y="13956343"/>
    <xdr:ext cx="2044800" cy="607010"/>
    <xdr:pic>
      <xdr:nvPicPr>
        <xdr:cNvPr id="25" name="Picture 33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/>
      </xdr:nvPicPr>
      <xdr:blipFill>
        <a:blip xmlns:r="http://schemas.openxmlformats.org/officeDocument/2006/relationships" r:embed="rId8" cstate="print"/>
        <a:stretch/>
      </xdr:blipFill>
      <xdr:spPr>
        <a:xfrm>
          <a:off x="3754014" y="13956343"/>
          <a:ext cx="2044800" cy="607010"/>
        </a:xfrm>
        <a:prstGeom prst="rect">
          <a:avLst/>
        </a:prstGeom>
        <a:ln>
          <a:noFill/>
        </a:ln>
      </xdr:spPr>
    </xdr:pic>
    <xdr:clientData/>
  </xdr:absoluteAnchor>
  <xdr:absoluteAnchor>
    <xdr:pos x="29436431" y="21908733"/>
    <xdr:ext cx="798537" cy="310325"/>
    <xdr:pic>
      <xdr:nvPicPr>
        <xdr:cNvPr id="26" name="Picture 34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/>
      </xdr:nvPicPr>
      <xdr:blipFill>
        <a:blip xmlns:r="http://schemas.openxmlformats.org/officeDocument/2006/relationships" r:embed="rId9" cstate="print"/>
        <a:stretch/>
      </xdr:blipFill>
      <xdr:spPr>
        <a:xfrm>
          <a:off x="29436431" y="21908733"/>
          <a:ext cx="798537" cy="310325"/>
        </a:xfrm>
        <a:prstGeom prst="rect">
          <a:avLst/>
        </a:prstGeom>
        <a:ln>
          <a:noFill/>
        </a:ln>
      </xdr:spPr>
    </xdr:pic>
    <xdr:clientData/>
  </xdr:absoluteAnchor>
  <xdr:absoluteAnchor>
    <xdr:pos x="30975125" y="21952790"/>
    <xdr:ext cx="1060279" cy="266313"/>
    <xdr:pic>
      <xdr:nvPicPr>
        <xdr:cNvPr id="28" name="Picture 43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/>
      </xdr:blipFill>
      <xdr:spPr>
        <a:xfrm>
          <a:off x="30975125" y="21952790"/>
          <a:ext cx="1060279" cy="266313"/>
        </a:xfrm>
        <a:prstGeom prst="rect">
          <a:avLst/>
        </a:prstGeom>
        <a:ln>
          <a:noFill/>
        </a:ln>
      </xdr:spPr>
    </xdr:pic>
    <xdr:clientData/>
  </xdr:absoluteAnchor>
  <xdr:absoluteAnchor>
    <xdr:pos x="27073031" y="29907962"/>
    <xdr:ext cx="905726" cy="563"/>
    <xdr:pic>
      <xdr:nvPicPr>
        <xdr:cNvPr id="29" name="Picture 44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/>
      </xdr:blipFill>
      <xdr:spPr>
        <a:xfrm>
          <a:off x="27073031" y="29907962"/>
          <a:ext cx="905726" cy="563"/>
        </a:xfrm>
        <a:prstGeom prst="rect">
          <a:avLst/>
        </a:prstGeom>
        <a:ln>
          <a:noFill/>
        </a:ln>
      </xdr:spPr>
    </xdr:pic>
    <xdr:clientData/>
  </xdr:absoluteAnchor>
  <xdr:absoluteAnchor>
    <xdr:pos x="34048728" y="21981230"/>
    <xdr:ext cx="681458" cy="237768"/>
    <xdr:pic>
      <xdr:nvPicPr>
        <xdr:cNvPr id="30" name="Picture 45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/>
      </xdr:blipFill>
      <xdr:spPr>
        <a:xfrm>
          <a:off x="34048728" y="21981230"/>
          <a:ext cx="681458" cy="237768"/>
        </a:xfrm>
        <a:prstGeom prst="rect">
          <a:avLst/>
        </a:prstGeom>
        <a:ln>
          <a:noFill/>
        </a:ln>
      </xdr:spPr>
    </xdr:pic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4343553" y="8169518"/>
    <xdr:ext cx="1978200" cy="580777"/>
    <xdr:pic>
      <xdr:nvPicPr>
        <xdr:cNvPr id="2" name="Picture 25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/>
      </xdr:blipFill>
      <xdr:spPr>
        <a:xfrm>
          <a:off x="4343553" y="8169518"/>
          <a:ext cx="1978200" cy="580777"/>
        </a:xfrm>
        <a:prstGeom prst="rect">
          <a:avLst/>
        </a:prstGeom>
        <a:ln>
          <a:noFill/>
        </a:ln>
      </xdr:spPr>
    </xdr:pic>
    <xdr:clientData/>
  </xdr:absoluteAnchor>
  <xdr:absoluteAnchor>
    <xdr:pos x="3359712" y="9079274"/>
    <xdr:ext cx="2854785" cy="637216"/>
    <xdr:pic>
      <xdr:nvPicPr>
        <xdr:cNvPr id="3" name="Picture 26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/>
      </xdr:nvPicPr>
      <xdr:blipFill>
        <a:blip xmlns:r="http://schemas.openxmlformats.org/officeDocument/2006/relationships" r:embed="rId2" cstate="print"/>
        <a:stretch/>
      </xdr:blipFill>
      <xdr:spPr>
        <a:xfrm>
          <a:off x="3359712" y="9079274"/>
          <a:ext cx="2854785" cy="637216"/>
        </a:xfrm>
        <a:prstGeom prst="rect">
          <a:avLst/>
        </a:prstGeom>
        <a:ln>
          <a:noFill/>
        </a:ln>
      </xdr:spPr>
    </xdr:pic>
    <xdr:clientData/>
  </xdr:absoluteAnchor>
  <xdr:absoluteAnchor>
    <xdr:pos x="3614561" y="9988967"/>
    <xdr:ext cx="2321280" cy="578644"/>
    <xdr:pic>
      <xdr:nvPicPr>
        <xdr:cNvPr id="4" name="Picture 27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/>
      </xdr:nvPicPr>
      <xdr:blipFill>
        <a:blip xmlns:r="http://schemas.openxmlformats.org/officeDocument/2006/relationships" r:embed="rId3" cstate="print"/>
        <a:stretch/>
      </xdr:blipFill>
      <xdr:spPr>
        <a:xfrm>
          <a:off x="3614561" y="9988967"/>
          <a:ext cx="2321280" cy="578644"/>
        </a:xfrm>
        <a:prstGeom prst="rect">
          <a:avLst/>
        </a:prstGeom>
        <a:ln>
          <a:noFill/>
        </a:ln>
      </xdr:spPr>
    </xdr:pic>
    <xdr:clientData/>
  </xdr:absoluteAnchor>
  <xdr:absoluteAnchor>
    <xdr:pos x="3523857" y="10550739"/>
    <xdr:ext cx="3045105" cy="359608"/>
    <xdr:pic>
      <xdr:nvPicPr>
        <xdr:cNvPr id="5" name="Picture 28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/>
      </xdr:nvPicPr>
      <xdr:blipFill>
        <a:blip xmlns:r="http://schemas.openxmlformats.org/officeDocument/2006/relationships" r:embed="rId4" cstate="print"/>
        <a:stretch/>
      </xdr:blipFill>
      <xdr:spPr>
        <a:xfrm>
          <a:off x="3523857" y="10550739"/>
          <a:ext cx="3045105" cy="359608"/>
        </a:xfrm>
        <a:prstGeom prst="rect">
          <a:avLst/>
        </a:prstGeom>
        <a:ln>
          <a:noFill/>
        </a:ln>
      </xdr:spPr>
    </xdr:pic>
    <xdr:clientData/>
  </xdr:absoluteAnchor>
  <xdr:absoluteAnchor>
    <xdr:pos x="3716899" y="11733808"/>
    <xdr:ext cx="2578320" cy="402329"/>
    <xdr:pic>
      <xdr:nvPicPr>
        <xdr:cNvPr id="6" name="Picture 30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/>
      </xdr:nvPicPr>
      <xdr:blipFill>
        <a:blip xmlns:r="http://schemas.openxmlformats.org/officeDocument/2006/relationships" r:embed="rId5" cstate="print"/>
        <a:stretch/>
      </xdr:blipFill>
      <xdr:spPr>
        <a:xfrm>
          <a:off x="3716899" y="11733808"/>
          <a:ext cx="2578320" cy="402329"/>
        </a:xfrm>
        <a:prstGeom prst="rect">
          <a:avLst/>
        </a:prstGeom>
        <a:ln>
          <a:noFill/>
        </a:ln>
      </xdr:spPr>
    </xdr:pic>
    <xdr:clientData/>
  </xdr:absoluteAnchor>
  <xdr:absoluteAnchor>
    <xdr:pos x="3865442" y="12175175"/>
    <xdr:ext cx="2054520" cy="608017"/>
    <xdr:pic>
      <xdr:nvPicPr>
        <xdr:cNvPr id="7" name="Picture 31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/>
      </xdr:nvPicPr>
      <xdr:blipFill>
        <a:blip xmlns:r="http://schemas.openxmlformats.org/officeDocument/2006/relationships" r:embed="rId6" cstate="print"/>
        <a:stretch/>
      </xdr:blipFill>
      <xdr:spPr>
        <a:xfrm>
          <a:off x="3865442" y="12175175"/>
          <a:ext cx="2054520" cy="608017"/>
        </a:xfrm>
        <a:prstGeom prst="rect">
          <a:avLst/>
        </a:prstGeom>
        <a:ln>
          <a:noFill/>
        </a:ln>
      </xdr:spPr>
    </xdr:pic>
    <xdr:clientData/>
  </xdr:absoluteAnchor>
  <xdr:absoluteAnchor>
    <xdr:pos x="4787541" y="13034073"/>
    <xdr:ext cx="1768680" cy="667786"/>
    <xdr:pic>
      <xdr:nvPicPr>
        <xdr:cNvPr id="8" name="Picture 3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/>
      </xdr:nvPicPr>
      <xdr:blipFill>
        <a:blip xmlns:r="http://schemas.openxmlformats.org/officeDocument/2006/relationships" r:embed="rId7" cstate="print"/>
        <a:stretch/>
      </xdr:blipFill>
      <xdr:spPr>
        <a:xfrm>
          <a:off x="4787541" y="13034073"/>
          <a:ext cx="1768680" cy="667786"/>
        </a:xfrm>
        <a:prstGeom prst="rect">
          <a:avLst/>
        </a:prstGeom>
        <a:ln>
          <a:noFill/>
        </a:ln>
      </xdr:spPr>
    </xdr:pic>
    <xdr:clientData/>
  </xdr:absoluteAnchor>
  <xdr:absoluteAnchor>
    <xdr:pos x="3754014" y="13956343"/>
    <xdr:ext cx="2044800" cy="607010"/>
    <xdr:pic>
      <xdr:nvPicPr>
        <xdr:cNvPr id="9" name="Picture 33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/>
      </xdr:nvPicPr>
      <xdr:blipFill>
        <a:blip xmlns:r="http://schemas.openxmlformats.org/officeDocument/2006/relationships" r:embed="rId8" cstate="print"/>
        <a:stretch/>
      </xdr:blipFill>
      <xdr:spPr>
        <a:xfrm>
          <a:off x="3754014" y="13956343"/>
          <a:ext cx="2044800" cy="607010"/>
        </a:xfrm>
        <a:prstGeom prst="rect">
          <a:avLst/>
        </a:prstGeom>
        <a:ln>
          <a:noFill/>
        </a:ln>
      </xdr:spPr>
    </xdr:pic>
    <xdr:clientData/>
  </xdr:absoluteAnchor>
  <xdr:absoluteAnchor>
    <xdr:pos x="29436431" y="21908733"/>
    <xdr:ext cx="798537" cy="310325"/>
    <xdr:pic>
      <xdr:nvPicPr>
        <xdr:cNvPr id="10" name="Picture 34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/>
      </xdr:nvPicPr>
      <xdr:blipFill>
        <a:blip xmlns:r="http://schemas.openxmlformats.org/officeDocument/2006/relationships" r:embed="rId9" cstate="print"/>
        <a:stretch/>
      </xdr:blipFill>
      <xdr:spPr>
        <a:xfrm>
          <a:off x="29436431" y="21908733"/>
          <a:ext cx="798537" cy="310325"/>
        </a:xfrm>
        <a:prstGeom prst="rect">
          <a:avLst/>
        </a:prstGeom>
        <a:ln>
          <a:noFill/>
        </a:ln>
      </xdr:spPr>
    </xdr:pic>
    <xdr:clientData/>
  </xdr:absoluteAnchor>
  <xdr:absoluteAnchor>
    <xdr:pos x="30975125" y="21952790"/>
    <xdr:ext cx="1060279" cy="266313"/>
    <xdr:pic>
      <xdr:nvPicPr>
        <xdr:cNvPr id="11" name="Picture 43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/>
      </xdr:blipFill>
      <xdr:spPr>
        <a:xfrm>
          <a:off x="30975125" y="21952790"/>
          <a:ext cx="1060279" cy="266313"/>
        </a:xfrm>
        <a:prstGeom prst="rect">
          <a:avLst/>
        </a:prstGeom>
        <a:ln>
          <a:noFill/>
        </a:ln>
      </xdr:spPr>
    </xdr:pic>
    <xdr:clientData/>
  </xdr:absoluteAnchor>
  <xdr:absoluteAnchor>
    <xdr:pos x="27073031" y="29907962"/>
    <xdr:ext cx="905726" cy="563"/>
    <xdr:pic>
      <xdr:nvPicPr>
        <xdr:cNvPr id="12" name="Picture 44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/>
      </xdr:blipFill>
      <xdr:spPr>
        <a:xfrm>
          <a:off x="27073031" y="29907962"/>
          <a:ext cx="905726" cy="563"/>
        </a:xfrm>
        <a:prstGeom prst="rect">
          <a:avLst/>
        </a:prstGeom>
        <a:ln>
          <a:noFill/>
        </a:ln>
      </xdr:spPr>
    </xdr:pic>
    <xdr:clientData/>
  </xdr:absoluteAnchor>
  <xdr:absoluteAnchor>
    <xdr:pos x="34048728" y="21981230"/>
    <xdr:ext cx="681458" cy="237768"/>
    <xdr:pic>
      <xdr:nvPicPr>
        <xdr:cNvPr id="13" name="Picture 45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/>
      </xdr:blipFill>
      <xdr:spPr>
        <a:xfrm>
          <a:off x="34048728" y="21981230"/>
          <a:ext cx="681458" cy="237768"/>
        </a:xfrm>
        <a:prstGeom prst="rect">
          <a:avLst/>
        </a:prstGeom>
        <a:ln>
          <a:noFill/>
        </a:ln>
      </xdr:spPr>
    </xdr:pic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5;&#1088;&#1086;&#1075;&#1088;&#1084;&#1099;%20&#1091;&#1082;&#1089;&#1077;&#1083;&#1103;/&#1056;&#1072;&#1089;&#1095;&#1077;&#1090;&#1099;%20&#1085;&#1086;&#1074;&#1099;&#1077;%20&#1074;&#1077;&#1088;&#1089;&#1080;&#1080;%20&#1041;&#1077;&#1088;&#1077;&#1079;&#1086;&#1074;&#1082;&#107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асчет пропускной способности"/>
      <sheetName val="Регулятор давления"/>
      <sheetName val="Свх"/>
      <sheetName val="Тепл баланс"/>
      <sheetName val="Расчет тепл мощности"/>
      <sheetName val="Расчеты новые версии Березовка"/>
    </sheetNames>
    <sheetDataSet>
      <sheetData sheetId="0"/>
      <sheetData sheetId="1">
        <row r="5">
          <cell r="F5">
            <v>40000</v>
          </cell>
        </row>
        <row r="8">
          <cell r="F8">
            <v>1000</v>
          </cell>
        </row>
        <row r="10">
          <cell r="F10">
            <v>7.4</v>
          </cell>
        </row>
        <row r="12">
          <cell r="F12">
            <v>1.2</v>
          </cell>
        </row>
        <row r="14">
          <cell r="F14">
            <v>20</v>
          </cell>
        </row>
        <row r="16">
          <cell r="F16">
            <v>0.58502006821389363</v>
          </cell>
        </row>
        <row r="37">
          <cell r="B37">
            <v>63.228530000000006</v>
          </cell>
        </row>
        <row r="38">
          <cell r="B38">
            <v>76.466310000000007</v>
          </cell>
        </row>
        <row r="39">
          <cell r="B39">
            <v>13.237779999999999</v>
          </cell>
        </row>
        <row r="42">
          <cell r="B42">
            <v>293</v>
          </cell>
        </row>
        <row r="43">
          <cell r="B43">
            <v>0.70494918219774183</v>
          </cell>
        </row>
        <row r="44">
          <cell r="B44">
            <v>0.61963479341424998</v>
          </cell>
        </row>
      </sheetData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AG65"/>
  <sheetViews>
    <sheetView topLeftCell="A23" zoomScale="85" zoomScaleNormal="85" zoomScaleSheetLayoutView="115" workbookViewId="0">
      <selection activeCell="H55" sqref="H55"/>
    </sheetView>
  </sheetViews>
  <sheetFormatPr defaultRowHeight="14.4" x14ac:dyDescent="0.3"/>
  <cols>
    <col min="1" max="1" width="28.44140625" customWidth="1"/>
    <col min="2" max="2" width="13.6640625" customWidth="1"/>
    <col min="3" max="9" width="10.5546875" bestFit="1" customWidth="1"/>
    <col min="10" max="10" width="12.33203125" customWidth="1"/>
    <col min="11" max="19" width="10.5546875" bestFit="1" customWidth="1"/>
  </cols>
  <sheetData>
    <row r="1" spans="1:10" x14ac:dyDescent="0.3">
      <c r="A1" s="198" t="s">
        <v>314</v>
      </c>
      <c r="B1" s="198"/>
      <c r="C1" s="198"/>
      <c r="D1" s="198"/>
      <c r="E1" s="198"/>
      <c r="F1" s="198"/>
      <c r="G1" s="198"/>
      <c r="H1" s="198"/>
      <c r="I1" s="198"/>
      <c r="J1" s="198"/>
    </row>
    <row r="2" spans="1:10" ht="15" customHeight="1" x14ac:dyDescent="0.3">
      <c r="A2" t="s">
        <v>317</v>
      </c>
      <c r="B2" s="199"/>
      <c r="C2" s="200"/>
      <c r="D2" s="200"/>
      <c r="E2" s="200"/>
      <c r="F2" s="200"/>
      <c r="G2" s="200"/>
      <c r="H2" s="200"/>
      <c r="I2" s="200"/>
      <c r="J2" s="200"/>
    </row>
    <row r="4" spans="1:10" x14ac:dyDescent="0.3">
      <c r="A4" t="s">
        <v>330</v>
      </c>
      <c r="B4" t="s">
        <v>339</v>
      </c>
    </row>
    <row r="5" spans="1:10" x14ac:dyDescent="0.3">
      <c r="A5" t="s">
        <v>331</v>
      </c>
      <c r="B5" t="s">
        <v>340</v>
      </c>
    </row>
    <row r="6" spans="1:10" x14ac:dyDescent="0.3">
      <c r="A6" t="s">
        <v>318</v>
      </c>
      <c r="B6" t="s">
        <v>332</v>
      </c>
    </row>
    <row r="9" spans="1:10" ht="15" customHeight="1" x14ac:dyDescent="0.3">
      <c r="E9" s="5" t="s">
        <v>333</v>
      </c>
    </row>
    <row r="10" spans="1:10" ht="80.25" customHeight="1" x14ac:dyDescent="0.3">
      <c r="A10" s="212" t="s">
        <v>334</v>
      </c>
      <c r="B10" s="212"/>
      <c r="C10" s="212"/>
      <c r="D10" s="212"/>
      <c r="E10" s="212"/>
      <c r="F10" s="212"/>
      <c r="G10" s="212"/>
      <c r="H10" s="212"/>
      <c r="I10" s="212"/>
      <c r="J10" s="212"/>
    </row>
    <row r="11" spans="1:10" ht="72.75" customHeight="1" x14ac:dyDescent="0.3"/>
    <row r="12" spans="1:10" ht="15" customHeight="1" x14ac:dyDescent="0.3">
      <c r="E12" s="5" t="s">
        <v>335</v>
      </c>
    </row>
    <row r="13" spans="1:10" ht="60" customHeight="1" x14ac:dyDescent="0.3">
      <c r="A13" s="212" t="s">
        <v>336</v>
      </c>
      <c r="B13" s="212"/>
      <c r="C13" s="212"/>
      <c r="D13" s="212"/>
      <c r="E13" s="212"/>
      <c r="F13" s="212"/>
      <c r="G13" s="212"/>
      <c r="H13" s="212"/>
      <c r="I13" s="212"/>
      <c r="J13" s="212"/>
    </row>
    <row r="14" spans="1:10" ht="63" customHeight="1" x14ac:dyDescent="0.3"/>
    <row r="15" spans="1:10" ht="43.5" customHeight="1" x14ac:dyDescent="0.3">
      <c r="E15" s="5" t="s">
        <v>337</v>
      </c>
    </row>
    <row r="16" spans="1:10" ht="27.75" customHeight="1" x14ac:dyDescent="0.3">
      <c r="A16" s="212" t="s">
        <v>338</v>
      </c>
      <c r="B16" s="212"/>
      <c r="C16" s="212"/>
      <c r="D16" s="212"/>
      <c r="E16" s="212"/>
      <c r="F16" s="212"/>
      <c r="G16" s="212"/>
      <c r="H16" s="212"/>
      <c r="I16" s="212"/>
      <c r="J16" s="212"/>
    </row>
    <row r="17" spans="1:33" ht="46.5" customHeight="1" x14ac:dyDescent="0.3"/>
    <row r="18" spans="1:33" ht="51.75" customHeight="1" x14ac:dyDescent="0.3"/>
    <row r="19" spans="1:33" ht="15" customHeight="1" x14ac:dyDescent="0.3">
      <c r="B19" s="203">
        <v>1.2</v>
      </c>
      <c r="C19" s="203">
        <v>1.4</v>
      </c>
      <c r="D19" s="203">
        <v>1.6</v>
      </c>
      <c r="E19" s="203">
        <v>1.8</v>
      </c>
      <c r="F19" s="203">
        <v>2</v>
      </c>
      <c r="G19" s="203">
        <v>2.2000000000000002</v>
      </c>
      <c r="H19" s="203">
        <v>2.4000000000000004</v>
      </c>
      <c r="I19" s="203">
        <v>2.6</v>
      </c>
      <c r="J19" s="203">
        <v>2.8</v>
      </c>
      <c r="K19" s="203">
        <v>3</v>
      </c>
      <c r="L19" s="203">
        <v>3.2</v>
      </c>
      <c r="M19" s="203">
        <v>3.4000000000000004</v>
      </c>
      <c r="N19" s="203">
        <v>3.6000000000000005</v>
      </c>
      <c r="O19" s="203">
        <v>3.8</v>
      </c>
      <c r="P19" s="203">
        <v>4</v>
      </c>
      <c r="Q19" s="203">
        <v>4.2</v>
      </c>
      <c r="R19" s="203">
        <v>4.4000000000000004</v>
      </c>
      <c r="S19" s="203">
        <v>4.6000000000000005</v>
      </c>
      <c r="T19" s="203">
        <v>4.8</v>
      </c>
      <c r="U19" s="203">
        <v>5</v>
      </c>
      <c r="V19" s="203">
        <v>5.2</v>
      </c>
      <c r="W19" s="203">
        <v>5.4</v>
      </c>
      <c r="X19" s="203">
        <v>5.6000000000000005</v>
      </c>
      <c r="Y19" s="203">
        <v>5.8000000000000007</v>
      </c>
      <c r="Z19" s="203">
        <v>6.0000000000000009</v>
      </c>
      <c r="AA19" s="203">
        <v>6.2</v>
      </c>
      <c r="AB19" s="203">
        <v>6.4</v>
      </c>
      <c r="AC19" s="203">
        <v>6.6000000000000005</v>
      </c>
      <c r="AD19" s="203">
        <v>6.8000000000000007</v>
      </c>
      <c r="AE19" s="203">
        <v>7.0000000000000009</v>
      </c>
      <c r="AF19" s="203">
        <v>7.2</v>
      </c>
      <c r="AG19" s="203">
        <v>7.4</v>
      </c>
    </row>
    <row r="20" spans="1:33" ht="45.75" customHeight="1" x14ac:dyDescent="0.3">
      <c r="A20" s="203">
        <v>0.2</v>
      </c>
      <c r="B20" s="203">
        <v>328976</v>
      </c>
      <c r="C20" s="203">
        <v>296372</v>
      </c>
      <c r="D20" s="203">
        <v>269772</v>
      </c>
      <c r="E20" s="203">
        <v>247676</v>
      </c>
      <c r="F20" s="203">
        <v>229044</v>
      </c>
      <c r="G20" s="203">
        <v>213136</v>
      </c>
      <c r="H20" s="203">
        <v>199405</v>
      </c>
      <c r="I20" s="203">
        <v>187445</v>
      </c>
      <c r="J20" s="203">
        <v>176943</v>
      </c>
      <c r="K20" s="203">
        <v>167657</v>
      </c>
      <c r="L20" s="203">
        <v>159393</v>
      </c>
      <c r="M20" s="203">
        <v>152000</v>
      </c>
      <c r="N20" s="203">
        <v>145353</v>
      </c>
      <c r="O20" s="203">
        <v>139351</v>
      </c>
      <c r="P20" s="203">
        <v>133909</v>
      </c>
      <c r="Q20" s="203">
        <v>128958</v>
      </c>
      <c r="R20" s="203">
        <v>124440</v>
      </c>
      <c r="S20" s="203">
        <v>120305</v>
      </c>
      <c r="T20" s="203">
        <v>116511</v>
      </c>
      <c r="U20" s="203">
        <v>113021</v>
      </c>
      <c r="V20" s="203">
        <v>109806</v>
      </c>
      <c r="W20" s="203">
        <v>106836</v>
      </c>
      <c r="X20" s="203">
        <v>104091</v>
      </c>
      <c r="Y20" s="203">
        <v>101548</v>
      </c>
      <c r="Z20" s="203">
        <v>99190</v>
      </c>
      <c r="AA20" s="203">
        <v>97002</v>
      </c>
      <c r="AB20" s="203">
        <v>94969</v>
      </c>
      <c r="AC20" s="203">
        <v>93079</v>
      </c>
      <c r="AD20" s="203">
        <v>91321</v>
      </c>
      <c r="AE20" s="203">
        <v>89686</v>
      </c>
      <c r="AF20" s="203">
        <v>88164</v>
      </c>
      <c r="AG20" s="203">
        <v>86748</v>
      </c>
    </row>
    <row r="21" spans="1:33" ht="33" customHeight="1" x14ac:dyDescent="0.3">
      <c r="A21" s="203">
        <v>0.30000000000000004</v>
      </c>
      <c r="B21" s="203">
        <v>346819</v>
      </c>
      <c r="C21" s="203">
        <v>310615</v>
      </c>
      <c r="D21" s="203">
        <v>281386</v>
      </c>
      <c r="E21" s="203">
        <v>257313</v>
      </c>
      <c r="F21" s="203">
        <v>237161</v>
      </c>
      <c r="G21" s="203">
        <v>220057</v>
      </c>
      <c r="H21" s="203">
        <v>205372</v>
      </c>
      <c r="I21" s="203">
        <v>192638</v>
      </c>
      <c r="J21" s="203">
        <v>181499</v>
      </c>
      <c r="K21" s="203">
        <v>171683</v>
      </c>
      <c r="L21" s="203">
        <v>162975</v>
      </c>
      <c r="M21" s="203">
        <v>155205</v>
      </c>
      <c r="N21" s="203">
        <v>148236</v>
      </c>
      <c r="O21" s="203">
        <v>141956</v>
      </c>
      <c r="P21" s="203">
        <v>136275</v>
      </c>
      <c r="Q21" s="203">
        <v>131115</v>
      </c>
      <c r="R21" s="203">
        <v>126413</v>
      </c>
      <c r="S21" s="203">
        <v>122116</v>
      </c>
      <c r="T21" s="203">
        <v>118178</v>
      </c>
      <c r="U21" s="203">
        <v>114561</v>
      </c>
      <c r="V21" s="203">
        <v>111232</v>
      </c>
      <c r="W21" s="203">
        <v>108160</v>
      </c>
      <c r="X21" s="203">
        <v>105323</v>
      </c>
      <c r="Y21" s="203">
        <v>102697</v>
      </c>
      <c r="Z21" s="203">
        <v>100264</v>
      </c>
      <c r="AA21" s="203">
        <v>98008</v>
      </c>
      <c r="AB21" s="203">
        <v>95912</v>
      </c>
      <c r="AC21" s="203">
        <v>93966</v>
      </c>
      <c r="AD21" s="203">
        <v>92156</v>
      </c>
      <c r="AE21" s="203">
        <v>90473</v>
      </c>
      <c r="AF21" s="203">
        <v>88907</v>
      </c>
      <c r="AG21" s="203">
        <v>87450</v>
      </c>
    </row>
    <row r="22" spans="1:33" ht="15" customHeight="1" x14ac:dyDescent="0.3">
      <c r="A22" s="203">
        <v>0.4</v>
      </c>
      <c r="B22" s="203">
        <v>366878</v>
      </c>
      <c r="C22" s="203">
        <v>326426</v>
      </c>
      <c r="D22" s="203">
        <v>294148</v>
      </c>
      <c r="E22" s="203">
        <v>267816</v>
      </c>
      <c r="F22" s="203">
        <v>245943</v>
      </c>
      <c r="G22" s="203">
        <v>227502</v>
      </c>
      <c r="H22" s="203">
        <v>211756</v>
      </c>
      <c r="I22" s="203">
        <v>198168</v>
      </c>
      <c r="J22" s="203">
        <v>186331</v>
      </c>
      <c r="K22" s="203">
        <v>175939</v>
      </c>
      <c r="L22" s="203">
        <v>166749</v>
      </c>
      <c r="M22" s="203">
        <v>158572</v>
      </c>
      <c r="N22" s="203">
        <v>151257</v>
      </c>
      <c r="O22" s="203">
        <v>144681</v>
      </c>
      <c r="P22" s="203">
        <v>138742</v>
      </c>
      <c r="Q22" s="203">
        <v>133360</v>
      </c>
      <c r="R22" s="203">
        <v>128463</v>
      </c>
      <c r="S22" s="203">
        <v>123995</v>
      </c>
      <c r="T22" s="203">
        <v>119906</v>
      </c>
      <c r="U22" s="203">
        <v>116154</v>
      </c>
      <c r="V22" s="203">
        <v>112704</v>
      </c>
      <c r="W22" s="203">
        <v>109526</v>
      </c>
      <c r="X22" s="203">
        <v>106592</v>
      </c>
      <c r="Y22" s="203">
        <v>103879</v>
      </c>
      <c r="Z22" s="203">
        <v>101368</v>
      </c>
      <c r="AA22" s="203">
        <v>99040</v>
      </c>
      <c r="AB22" s="203">
        <v>96880</v>
      </c>
      <c r="AC22" s="203">
        <v>94874</v>
      </c>
      <c r="AD22" s="203">
        <v>93010</v>
      </c>
      <c r="AE22" s="203">
        <v>91277</v>
      </c>
      <c r="AF22" s="203">
        <v>89666</v>
      </c>
      <c r="AG22" s="203">
        <v>88167</v>
      </c>
    </row>
    <row r="23" spans="1:33" ht="15" customHeight="1" x14ac:dyDescent="0.3">
      <c r="A23" s="203">
        <v>0.5</v>
      </c>
      <c r="B23" s="203">
        <v>389596</v>
      </c>
      <c r="C23" s="203">
        <v>344084</v>
      </c>
      <c r="D23" s="203">
        <v>308241</v>
      </c>
      <c r="E23" s="203">
        <v>279307</v>
      </c>
      <c r="F23" s="203">
        <v>255479</v>
      </c>
      <c r="G23" s="203">
        <v>235532</v>
      </c>
      <c r="H23" s="203">
        <v>218604</v>
      </c>
      <c r="I23" s="203">
        <v>204071</v>
      </c>
      <c r="J23" s="203">
        <v>191468</v>
      </c>
      <c r="K23" s="203">
        <v>180445</v>
      </c>
      <c r="L23" s="203">
        <v>170731</v>
      </c>
      <c r="M23" s="203">
        <v>162115</v>
      </c>
      <c r="N23" s="203">
        <v>154427</v>
      </c>
      <c r="O23" s="203">
        <v>147532</v>
      </c>
      <c r="P23" s="203">
        <v>141320</v>
      </c>
      <c r="Q23" s="203">
        <v>135699</v>
      </c>
      <c r="R23" s="203">
        <v>130595</v>
      </c>
      <c r="S23" s="203">
        <v>125945</v>
      </c>
      <c r="T23" s="203">
        <v>121696</v>
      </c>
      <c r="U23" s="203">
        <v>117802</v>
      </c>
      <c r="V23" s="203">
        <v>114226</v>
      </c>
      <c r="W23" s="203">
        <v>110935</v>
      </c>
      <c r="X23" s="203">
        <v>107900</v>
      </c>
      <c r="Y23" s="203">
        <v>105097</v>
      </c>
      <c r="Z23" s="203">
        <v>102503</v>
      </c>
      <c r="AA23" s="203">
        <v>100101</v>
      </c>
      <c r="AB23" s="203">
        <v>97873</v>
      </c>
      <c r="AC23" s="203">
        <v>95805</v>
      </c>
      <c r="AD23" s="203">
        <v>93885</v>
      </c>
      <c r="AE23" s="203">
        <v>92101</v>
      </c>
      <c r="AF23" s="203">
        <v>90442</v>
      </c>
      <c r="AG23" s="203">
        <v>88900</v>
      </c>
    </row>
    <row r="24" spans="1:33" ht="15" customHeight="1" x14ac:dyDescent="0.3">
      <c r="A24" s="203">
        <v>0.60000000000000009</v>
      </c>
      <c r="B24" s="203">
        <v>415543</v>
      </c>
      <c r="C24" s="203">
        <v>363934</v>
      </c>
      <c r="D24" s="203">
        <v>323887</v>
      </c>
      <c r="E24" s="203">
        <v>291935</v>
      </c>
      <c r="F24" s="203">
        <v>265871</v>
      </c>
      <c r="G24" s="203">
        <v>244222</v>
      </c>
      <c r="H24" s="203">
        <v>225970</v>
      </c>
      <c r="I24" s="203">
        <v>210387</v>
      </c>
      <c r="J24" s="203">
        <v>196939</v>
      </c>
      <c r="K24" s="203">
        <v>185226</v>
      </c>
      <c r="L24" s="203">
        <v>174942</v>
      </c>
      <c r="M24" s="203">
        <v>165848</v>
      </c>
      <c r="N24" s="203">
        <v>157758</v>
      </c>
      <c r="O24" s="203">
        <v>150520</v>
      </c>
      <c r="P24" s="203">
        <v>144014</v>
      </c>
      <c r="Q24" s="203">
        <v>138140</v>
      </c>
      <c r="R24" s="203">
        <v>132815</v>
      </c>
      <c r="S24" s="203">
        <v>127972</v>
      </c>
      <c r="T24" s="203">
        <v>123553</v>
      </c>
      <c r="U24" s="203">
        <v>119510</v>
      </c>
      <c r="V24" s="203">
        <v>115801</v>
      </c>
      <c r="W24" s="203">
        <v>112391</v>
      </c>
      <c r="X24" s="203">
        <v>109250</v>
      </c>
      <c r="Y24" s="203">
        <v>106351</v>
      </c>
      <c r="Z24" s="203">
        <v>103671</v>
      </c>
      <c r="AA24" s="203">
        <v>101191</v>
      </c>
      <c r="AB24" s="203">
        <v>98893</v>
      </c>
      <c r="AC24" s="203">
        <v>96761</v>
      </c>
      <c r="AD24" s="203">
        <v>94782</v>
      </c>
      <c r="AE24" s="203">
        <v>92944</v>
      </c>
      <c r="AF24" s="203">
        <v>91236</v>
      </c>
      <c r="AG24" s="203">
        <v>89649</v>
      </c>
    </row>
    <row r="25" spans="1:33" ht="20.25" customHeight="1" x14ac:dyDescent="0.3">
      <c r="A25" s="203">
        <v>0.7</v>
      </c>
      <c r="B25" s="203">
        <v>445464</v>
      </c>
      <c r="C25" s="203">
        <v>386414</v>
      </c>
      <c r="D25" s="203">
        <v>341359</v>
      </c>
      <c r="E25" s="203">
        <v>305880</v>
      </c>
      <c r="F25" s="203">
        <v>277241</v>
      </c>
      <c r="G25" s="203">
        <v>253658</v>
      </c>
      <c r="H25" s="203">
        <v>233916</v>
      </c>
      <c r="I25" s="203">
        <v>217163</v>
      </c>
      <c r="J25" s="203">
        <v>202780</v>
      </c>
      <c r="K25" s="203">
        <v>190308</v>
      </c>
      <c r="L25" s="203">
        <v>179401</v>
      </c>
      <c r="M25" s="203">
        <v>169789</v>
      </c>
      <c r="N25" s="203">
        <v>161263</v>
      </c>
      <c r="O25" s="203">
        <v>153656</v>
      </c>
      <c r="P25" s="203">
        <v>146835</v>
      </c>
      <c r="Q25" s="203">
        <v>140689</v>
      </c>
      <c r="R25" s="203">
        <v>135129</v>
      </c>
      <c r="S25" s="203">
        <v>130081</v>
      </c>
      <c r="T25" s="203">
        <v>125482</v>
      </c>
      <c r="U25" s="203">
        <v>121280</v>
      </c>
      <c r="V25" s="203">
        <v>117431</v>
      </c>
      <c r="W25" s="203">
        <v>113896</v>
      </c>
      <c r="X25" s="203">
        <v>110643</v>
      </c>
      <c r="Y25" s="203">
        <v>107644</v>
      </c>
      <c r="Z25" s="203">
        <v>104874</v>
      </c>
      <c r="AA25" s="203">
        <v>102313</v>
      </c>
      <c r="AB25" s="203">
        <v>99941</v>
      </c>
      <c r="AC25" s="203">
        <v>97742</v>
      </c>
      <c r="AD25" s="203">
        <v>95702</v>
      </c>
      <c r="AE25" s="203">
        <v>93808</v>
      </c>
      <c r="AF25" s="203">
        <v>92049</v>
      </c>
      <c r="AG25" s="203">
        <v>90415</v>
      </c>
    </row>
    <row r="26" spans="1:33" x14ac:dyDescent="0.3">
      <c r="A26" s="203">
        <v>0.8</v>
      </c>
      <c r="B26" s="203">
        <v>480351</v>
      </c>
      <c r="C26" s="203">
        <v>412089</v>
      </c>
      <c r="D26" s="203">
        <v>361000</v>
      </c>
      <c r="E26" s="203">
        <v>321361</v>
      </c>
      <c r="F26" s="203">
        <v>289737</v>
      </c>
      <c r="G26" s="203">
        <v>263940</v>
      </c>
      <c r="H26" s="203">
        <v>242515</v>
      </c>
      <c r="I26" s="203">
        <v>224452</v>
      </c>
      <c r="J26" s="203">
        <v>209030</v>
      </c>
      <c r="K26" s="203">
        <v>195722</v>
      </c>
      <c r="L26" s="203">
        <v>184131</v>
      </c>
      <c r="M26" s="203">
        <v>173955</v>
      </c>
      <c r="N26" s="203">
        <v>164957</v>
      </c>
      <c r="O26" s="203">
        <v>156952</v>
      </c>
      <c r="P26" s="203">
        <v>149792</v>
      </c>
      <c r="Q26" s="203">
        <v>143355</v>
      </c>
      <c r="R26" s="203">
        <v>137544</v>
      </c>
      <c r="S26" s="203">
        <v>132277</v>
      </c>
      <c r="T26" s="203">
        <v>127487</v>
      </c>
      <c r="U26" s="203">
        <v>123118</v>
      </c>
      <c r="V26" s="203">
        <v>119120</v>
      </c>
      <c r="W26" s="203">
        <v>115453</v>
      </c>
      <c r="X26" s="203">
        <v>112083</v>
      </c>
      <c r="Y26" s="203">
        <v>108978</v>
      </c>
      <c r="Z26" s="203">
        <v>106114</v>
      </c>
      <c r="AA26" s="203">
        <v>103467</v>
      </c>
      <c r="AB26" s="203">
        <v>101018</v>
      </c>
      <c r="AC26" s="203">
        <v>98750</v>
      </c>
      <c r="AD26" s="203">
        <v>96646</v>
      </c>
      <c r="AE26" s="203">
        <v>94694</v>
      </c>
      <c r="AF26" s="203">
        <v>92882</v>
      </c>
      <c r="AG26" s="203">
        <v>91199</v>
      </c>
    </row>
    <row r="27" spans="1:33" x14ac:dyDescent="0.3">
      <c r="A27" s="203">
        <v>0.9</v>
      </c>
      <c r="B27" s="203">
        <v>521557</v>
      </c>
      <c r="C27" s="203">
        <v>441693</v>
      </c>
      <c r="D27" s="203">
        <v>383244</v>
      </c>
      <c r="E27" s="203">
        <v>338650</v>
      </c>
      <c r="F27" s="203">
        <v>303535</v>
      </c>
      <c r="G27" s="203">
        <v>275191</v>
      </c>
      <c r="H27" s="203">
        <v>251851</v>
      </c>
      <c r="I27" s="203">
        <v>232315</v>
      </c>
      <c r="J27" s="203">
        <v>215735</v>
      </c>
      <c r="K27" s="203">
        <v>201502</v>
      </c>
      <c r="L27" s="203">
        <v>189161</v>
      </c>
      <c r="M27" s="203">
        <v>178367</v>
      </c>
      <c r="N27" s="203">
        <v>168857</v>
      </c>
      <c r="O27" s="203">
        <v>160421</v>
      </c>
      <c r="P27" s="203">
        <v>152895</v>
      </c>
      <c r="Q27" s="203">
        <v>146146</v>
      </c>
      <c r="R27" s="203">
        <v>140067</v>
      </c>
      <c r="S27" s="203">
        <v>134567</v>
      </c>
      <c r="T27" s="203">
        <v>129574</v>
      </c>
      <c r="U27" s="203">
        <v>125026</v>
      </c>
      <c r="V27" s="203">
        <v>120871</v>
      </c>
      <c r="W27" s="203">
        <v>117065</v>
      </c>
      <c r="X27" s="203">
        <v>113571</v>
      </c>
      <c r="Y27" s="203">
        <v>110356</v>
      </c>
      <c r="Z27" s="203">
        <v>107393</v>
      </c>
      <c r="AA27" s="203">
        <v>104657</v>
      </c>
      <c r="AB27" s="203">
        <v>102127</v>
      </c>
      <c r="AC27" s="203">
        <v>99785</v>
      </c>
      <c r="AD27" s="203">
        <v>97616</v>
      </c>
      <c r="AE27" s="203">
        <v>95603</v>
      </c>
      <c r="AF27" s="203">
        <v>93736</v>
      </c>
      <c r="AG27" s="203">
        <v>92002</v>
      </c>
    </row>
    <row r="28" spans="1:33" x14ac:dyDescent="0.3">
      <c r="A28" s="203">
        <v>1</v>
      </c>
      <c r="B28" s="203">
        <v>570976</v>
      </c>
      <c r="C28" s="203">
        <v>476209</v>
      </c>
      <c r="D28" s="203">
        <v>408646</v>
      </c>
      <c r="E28" s="203">
        <v>358083</v>
      </c>
      <c r="F28" s="203">
        <v>318853</v>
      </c>
      <c r="G28" s="203">
        <v>287555</v>
      </c>
      <c r="H28" s="203">
        <v>262026</v>
      </c>
      <c r="I28" s="203">
        <v>240824</v>
      </c>
      <c r="J28" s="203">
        <v>222948</v>
      </c>
      <c r="K28" s="203">
        <v>207688</v>
      </c>
      <c r="L28" s="203">
        <v>194519</v>
      </c>
      <c r="M28" s="203">
        <v>183049</v>
      </c>
      <c r="N28" s="203">
        <v>172980</v>
      </c>
      <c r="O28" s="203">
        <v>164077</v>
      </c>
      <c r="P28" s="203">
        <v>156157</v>
      </c>
      <c r="Q28" s="203">
        <v>149073</v>
      </c>
      <c r="R28" s="203">
        <v>142705</v>
      </c>
      <c r="S28" s="203">
        <v>136957</v>
      </c>
      <c r="T28" s="203">
        <v>131748</v>
      </c>
      <c r="U28" s="203">
        <v>127010</v>
      </c>
      <c r="V28" s="203">
        <v>122689</v>
      </c>
      <c r="W28" s="203">
        <v>118736</v>
      </c>
      <c r="X28" s="203">
        <v>115112</v>
      </c>
      <c r="Y28" s="203">
        <v>111780</v>
      </c>
      <c r="Z28" s="203">
        <v>108713</v>
      </c>
      <c r="AA28" s="203">
        <v>105883</v>
      </c>
      <c r="AB28" s="203">
        <v>103269</v>
      </c>
      <c r="AC28" s="203">
        <v>100851</v>
      </c>
      <c r="AD28" s="203">
        <v>98612</v>
      </c>
      <c r="AE28" s="203">
        <v>96536</v>
      </c>
      <c r="AF28" s="203">
        <v>94611</v>
      </c>
      <c r="AG28" s="203">
        <v>92825</v>
      </c>
    </row>
    <row r="29" spans="1:33" x14ac:dyDescent="0.3">
      <c r="A29" s="203">
        <v>1.1000000000000001</v>
      </c>
      <c r="B29" s="203">
        <v>631341</v>
      </c>
      <c r="C29" s="203">
        <v>516973</v>
      </c>
      <c r="D29" s="203">
        <v>437934</v>
      </c>
      <c r="E29" s="203">
        <v>380089</v>
      </c>
      <c r="F29" s="203">
        <v>335958</v>
      </c>
      <c r="G29" s="203">
        <v>301209</v>
      </c>
      <c r="H29" s="203">
        <v>273160</v>
      </c>
      <c r="I29" s="203">
        <v>250063</v>
      </c>
      <c r="J29" s="203">
        <v>230730</v>
      </c>
      <c r="K29" s="203">
        <v>214324</v>
      </c>
      <c r="L29" s="203">
        <v>200239</v>
      </c>
      <c r="M29" s="203">
        <v>188027</v>
      </c>
      <c r="N29" s="203">
        <v>177347</v>
      </c>
      <c r="O29" s="203">
        <v>167937</v>
      </c>
      <c r="P29" s="203">
        <v>159590</v>
      </c>
      <c r="Q29" s="203">
        <v>152144</v>
      </c>
      <c r="R29" s="203">
        <v>145468</v>
      </c>
      <c r="S29" s="203">
        <v>139454</v>
      </c>
      <c r="T29" s="203">
        <v>134014</v>
      </c>
      <c r="U29" s="203">
        <v>129076</v>
      </c>
      <c r="V29" s="203">
        <v>124578</v>
      </c>
      <c r="W29" s="203">
        <v>120470</v>
      </c>
      <c r="X29" s="203">
        <v>116707</v>
      </c>
      <c r="Y29" s="203">
        <v>113253</v>
      </c>
      <c r="Z29" s="203">
        <v>110076</v>
      </c>
      <c r="AA29" s="203">
        <v>107148</v>
      </c>
      <c r="AB29" s="203">
        <v>104446</v>
      </c>
      <c r="AC29" s="203">
        <v>101948</v>
      </c>
      <c r="AD29" s="203">
        <v>99636</v>
      </c>
      <c r="AE29" s="203">
        <v>97495</v>
      </c>
      <c r="AF29" s="203">
        <v>95510</v>
      </c>
      <c r="AG29" s="203">
        <v>93669</v>
      </c>
    </row>
    <row r="30" spans="1:33" x14ac:dyDescent="0.3">
      <c r="A30" s="203">
        <v>1.2</v>
      </c>
      <c r="B30" s="203">
        <v>706745</v>
      </c>
      <c r="C30" s="203">
        <v>565853</v>
      </c>
      <c r="D30" s="203">
        <v>472076</v>
      </c>
      <c r="E30" s="203">
        <v>405219</v>
      </c>
      <c r="F30" s="203">
        <v>355185</v>
      </c>
      <c r="G30" s="203">
        <v>316365</v>
      </c>
      <c r="H30" s="203">
        <v>285394</v>
      </c>
      <c r="I30" s="203">
        <v>260132</v>
      </c>
      <c r="J30" s="203">
        <v>239151</v>
      </c>
      <c r="K30" s="203">
        <v>221463</v>
      </c>
      <c r="L30" s="203">
        <v>206362</v>
      </c>
      <c r="M30" s="203">
        <v>193331</v>
      </c>
      <c r="N30" s="203">
        <v>181982</v>
      </c>
      <c r="O30" s="203">
        <v>172018</v>
      </c>
      <c r="P30" s="203">
        <v>163209</v>
      </c>
      <c r="Q30" s="203">
        <v>155373</v>
      </c>
      <c r="R30" s="203">
        <v>148365</v>
      </c>
      <c r="S30" s="203">
        <v>142065</v>
      </c>
      <c r="T30" s="203">
        <v>136379</v>
      </c>
      <c r="U30" s="203">
        <v>131227</v>
      </c>
      <c r="V30" s="203">
        <v>126542</v>
      </c>
      <c r="W30" s="203">
        <v>122269</v>
      </c>
      <c r="X30" s="203">
        <v>118361</v>
      </c>
      <c r="Y30" s="203">
        <v>114778</v>
      </c>
      <c r="Z30" s="203">
        <v>111486</v>
      </c>
      <c r="AA30" s="203">
        <v>108455</v>
      </c>
      <c r="AB30" s="203">
        <v>105659</v>
      </c>
      <c r="AC30" s="203">
        <v>103078</v>
      </c>
      <c r="AD30" s="203">
        <v>100691</v>
      </c>
      <c r="AE30" s="203">
        <v>98481</v>
      </c>
      <c r="AF30" s="203">
        <v>96433</v>
      </c>
      <c r="AG30" s="203">
        <v>94535</v>
      </c>
    </row>
    <row r="36" ht="21" customHeight="1" x14ac:dyDescent="0.3"/>
    <row r="53" ht="15" customHeight="1" x14ac:dyDescent="0.3"/>
    <row r="54" ht="15" customHeight="1" x14ac:dyDescent="0.3"/>
    <row r="55" ht="15" customHeight="1" x14ac:dyDescent="0.3"/>
    <row r="56" ht="15" customHeight="1" x14ac:dyDescent="0.3"/>
    <row r="57" ht="15" customHeight="1" x14ac:dyDescent="0.3"/>
    <row r="58" ht="15" customHeight="1" x14ac:dyDescent="0.3"/>
    <row r="59" ht="15" customHeight="1" x14ac:dyDescent="0.3"/>
    <row r="60" ht="15" customHeight="1" x14ac:dyDescent="0.3"/>
    <row r="61" ht="15" customHeight="1" x14ac:dyDescent="0.3"/>
    <row r="62" ht="15" customHeight="1" x14ac:dyDescent="0.3"/>
    <row r="63" ht="15" customHeight="1" x14ac:dyDescent="0.3"/>
    <row r="64" ht="15" customHeight="1" x14ac:dyDescent="0.3"/>
    <row r="65" ht="15" customHeight="1" x14ac:dyDescent="0.3"/>
  </sheetData>
  <dataConsolidate/>
  <mergeCells count="3">
    <mergeCell ref="A13:J13"/>
    <mergeCell ref="A16:J16"/>
    <mergeCell ref="A10:J10"/>
  </mergeCells>
  <pageMargins left="0.9055118110236221" right="0.70866141732283472" top="0.74803149606299213" bottom="0.74803149606299213" header="0.31496062992125984" footer="0.31496062992125984"/>
  <pageSetup paperSize="9" scale="65" orientation="portrait" r:id="rId1"/>
  <rowBreaks count="1" manualBreakCount="1">
    <brk id="71" max="16383" man="1"/>
  </rowBreaks>
  <colBreaks count="1" manualBreakCount="1">
    <brk id="10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AG42"/>
  <sheetViews>
    <sheetView view="pageBreakPreview" topLeftCell="A6" zoomScale="85" zoomScaleNormal="70" zoomScaleSheetLayoutView="85" workbookViewId="0">
      <selection activeCell="F32" sqref="F32"/>
    </sheetView>
  </sheetViews>
  <sheetFormatPr defaultRowHeight="14.4" x14ac:dyDescent="0.3"/>
  <cols>
    <col min="1" max="1" width="16.44140625" customWidth="1"/>
    <col min="3" max="3" width="14.5546875" customWidth="1"/>
    <col min="6" max="6" width="12.88671875" bestFit="1" customWidth="1"/>
    <col min="7" max="7" width="16.6640625" bestFit="1" customWidth="1"/>
    <col min="8" max="8" width="25.5546875" bestFit="1" customWidth="1"/>
    <col min="9" max="9" width="27.21875" bestFit="1" customWidth="1"/>
    <col min="10" max="11" width="18" bestFit="1" customWidth="1"/>
    <col min="12" max="12" width="18.5546875" bestFit="1" customWidth="1"/>
  </cols>
  <sheetData>
    <row r="1" spans="1:33" ht="20.399999999999999" x14ac:dyDescent="0.35">
      <c r="A1" s="1" t="s">
        <v>0</v>
      </c>
      <c r="B1" s="1"/>
      <c r="C1" s="1"/>
      <c r="D1" s="1"/>
      <c r="E1" s="1"/>
      <c r="F1" s="1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33" x14ac:dyDescent="0.3">
      <c r="A2" s="3" t="s">
        <v>315</v>
      </c>
      <c r="B2" s="3">
        <v>1.2</v>
      </c>
      <c r="C2" s="3">
        <v>1.4</v>
      </c>
      <c r="D2" s="3">
        <v>1.6</v>
      </c>
      <c r="E2" s="3">
        <v>1.8</v>
      </c>
      <c r="F2" s="3">
        <v>2</v>
      </c>
      <c r="G2" s="3">
        <v>2.2000000000000002</v>
      </c>
      <c r="H2" s="3">
        <v>2.4000000000000004</v>
      </c>
      <c r="I2" s="3">
        <v>2.6</v>
      </c>
      <c r="J2" s="3">
        <v>2.8</v>
      </c>
      <c r="K2" s="3">
        <v>3</v>
      </c>
      <c r="L2" s="3">
        <v>3.2</v>
      </c>
      <c r="M2" s="3">
        <v>3.4000000000000004</v>
      </c>
      <c r="N2" s="3">
        <v>3.6000000000000005</v>
      </c>
      <c r="O2" s="3">
        <v>3.8</v>
      </c>
      <c r="P2" s="3">
        <v>4</v>
      </c>
      <c r="Q2" s="3">
        <v>4.2</v>
      </c>
      <c r="R2" s="3">
        <v>4.4000000000000004</v>
      </c>
      <c r="S2" s="3">
        <v>4.6000000000000005</v>
      </c>
      <c r="T2" s="3">
        <v>4.8</v>
      </c>
      <c r="U2" s="3">
        <v>5</v>
      </c>
      <c r="V2" s="3">
        <v>5.2</v>
      </c>
      <c r="W2" s="3">
        <v>5.4</v>
      </c>
      <c r="X2" s="3">
        <v>5.6000000000000005</v>
      </c>
      <c r="Y2" s="3">
        <v>5.8000000000000007</v>
      </c>
      <c r="Z2" s="3">
        <v>6.0000000000000009</v>
      </c>
      <c r="AA2" s="3">
        <v>6.2</v>
      </c>
      <c r="AB2" s="3">
        <v>6.4</v>
      </c>
      <c r="AC2" s="3">
        <v>6.6000000000000005</v>
      </c>
      <c r="AD2" s="3">
        <v>6.8000000000000007</v>
      </c>
      <c r="AE2" s="3">
        <v>7.0000000000000009</v>
      </c>
      <c r="AF2" s="3">
        <v>7.2</v>
      </c>
      <c r="AG2" s="3">
        <v>7.4</v>
      </c>
    </row>
    <row r="3" spans="1:33" x14ac:dyDescent="0.3">
      <c r="A3" s="3" t="s">
        <v>316</v>
      </c>
      <c r="B3" s="3">
        <v>0.2</v>
      </c>
      <c r="C3" s="3">
        <v>0.30000000000000004</v>
      </c>
      <c r="D3" s="3">
        <v>0.4</v>
      </c>
      <c r="E3" s="3">
        <v>0.5</v>
      </c>
      <c r="F3" s="3">
        <v>0.60000000000000009</v>
      </c>
      <c r="G3" s="3">
        <v>0.7</v>
      </c>
      <c r="H3" s="3">
        <v>0.8</v>
      </c>
      <c r="I3" s="3">
        <v>0.9</v>
      </c>
      <c r="J3" s="3">
        <v>1</v>
      </c>
      <c r="K3" s="3">
        <v>1.1000000000000001</v>
      </c>
      <c r="L3" s="3">
        <v>1.2</v>
      </c>
      <c r="M3" s="3"/>
      <c r="N3" s="3"/>
      <c r="O3" s="3"/>
      <c r="P3" s="3"/>
      <c r="Q3" s="3"/>
      <c r="R3" s="2"/>
      <c r="S3" s="2"/>
      <c r="T3" s="2"/>
      <c r="U3" s="2"/>
      <c r="V3" s="2"/>
      <c r="W3" s="2"/>
    </row>
    <row r="4" spans="1:33" x14ac:dyDescent="0.3">
      <c r="A4" s="4"/>
      <c r="B4" s="4"/>
      <c r="C4" s="4"/>
      <c r="D4" s="4"/>
      <c r="E4" s="4"/>
      <c r="F4" s="4"/>
      <c r="G4" s="5"/>
      <c r="H4" s="5"/>
      <c r="I4" s="4"/>
      <c r="J4" s="4"/>
      <c r="K4" s="4"/>
      <c r="L4" s="4"/>
      <c r="M4" s="4"/>
      <c r="N4" s="4"/>
      <c r="O4" s="4"/>
      <c r="P4" s="4"/>
      <c r="Q4" s="4"/>
      <c r="R4" s="2"/>
      <c r="S4" s="2"/>
      <c r="T4" s="2"/>
      <c r="U4" s="2"/>
      <c r="V4" s="2"/>
      <c r="W4" s="2"/>
    </row>
    <row r="5" spans="1:33" x14ac:dyDescent="0.3">
      <c r="A5" s="4"/>
      <c r="B5" s="4"/>
      <c r="C5" s="4"/>
      <c r="D5" s="4"/>
      <c r="E5" s="4"/>
      <c r="F5" s="4"/>
      <c r="G5" s="5"/>
      <c r="H5" s="5"/>
      <c r="I5" s="4"/>
      <c r="J5" s="4"/>
      <c r="K5" s="4"/>
      <c r="L5" s="4"/>
      <c r="M5" s="4"/>
      <c r="N5" s="4"/>
      <c r="O5" s="4"/>
      <c r="P5" s="4"/>
      <c r="Q5" s="4"/>
      <c r="R5" s="2"/>
      <c r="S5" s="2"/>
      <c r="T5" s="2"/>
      <c r="U5" s="2"/>
      <c r="V5" s="2"/>
      <c r="W5" s="2"/>
    </row>
    <row r="6" spans="1:33" x14ac:dyDescent="0.3">
      <c r="A6" s="4"/>
      <c r="B6" s="4"/>
      <c r="C6" s="4"/>
      <c r="D6" s="4"/>
      <c r="E6" s="4"/>
      <c r="O6" s="4"/>
      <c r="P6" s="4"/>
      <c r="Q6" s="4"/>
      <c r="R6" s="2"/>
      <c r="S6" s="2"/>
      <c r="T6" s="2"/>
      <c r="U6" s="2"/>
      <c r="V6" s="2"/>
      <c r="W6" s="2"/>
    </row>
    <row r="7" spans="1:33" x14ac:dyDescent="0.3">
      <c r="A7" s="4"/>
      <c r="B7" s="4"/>
      <c r="D7" s="4"/>
      <c r="E7" s="4"/>
      <c r="G7" s="194" t="s">
        <v>318</v>
      </c>
      <c r="H7" s="195"/>
      <c r="I7" s="195"/>
    </row>
    <row r="8" spans="1:33" ht="43.5" customHeight="1" x14ac:dyDescent="0.3">
      <c r="A8" s="4"/>
      <c r="B8" s="4"/>
      <c r="C8" s="4"/>
      <c r="D8" s="4"/>
      <c r="E8" s="4"/>
      <c r="G8" s="194" t="s">
        <v>319</v>
      </c>
      <c r="H8" s="194" t="s">
        <v>320</v>
      </c>
      <c r="I8" s="194" t="s">
        <v>321</v>
      </c>
    </row>
    <row r="9" spans="1:33" x14ac:dyDescent="0.3">
      <c r="A9" s="4"/>
      <c r="B9" s="4"/>
      <c r="C9" s="4"/>
      <c r="G9" s="196">
        <v>1500</v>
      </c>
      <c r="H9" s="196">
        <v>0</v>
      </c>
      <c r="I9" s="196">
        <v>5</v>
      </c>
    </row>
    <row r="11" spans="1:33" ht="63" x14ac:dyDescent="0.3">
      <c r="A11" s="6" t="s">
        <v>1</v>
      </c>
      <c r="B11" s="6" t="s">
        <v>2</v>
      </c>
      <c r="C11" s="7" t="s">
        <v>3</v>
      </c>
    </row>
    <row r="12" spans="1:33" ht="15.6" x14ac:dyDescent="0.3">
      <c r="A12" s="6"/>
      <c r="B12" s="6"/>
      <c r="C12" s="186"/>
      <c r="D12" s="188"/>
      <c r="E12" s="188"/>
      <c r="F12" s="188"/>
      <c r="M12" s="197"/>
      <c r="P12" s="197"/>
    </row>
    <row r="13" spans="1:33" ht="15.6" x14ac:dyDescent="0.3">
      <c r="A13" s="8" t="s">
        <v>4</v>
      </c>
      <c r="B13" s="6" t="s">
        <v>5</v>
      </c>
      <c r="C13" s="187">
        <v>91.799000000000007</v>
      </c>
      <c r="D13" s="188"/>
      <c r="E13" s="188"/>
      <c r="F13" s="188"/>
      <c r="M13" s="197"/>
      <c r="P13" s="197"/>
    </row>
    <row r="14" spans="1:33" ht="15.6" x14ac:dyDescent="0.3">
      <c r="A14" s="8" t="s">
        <v>6</v>
      </c>
      <c r="B14" s="6" t="s">
        <v>7</v>
      </c>
      <c r="C14" s="187">
        <v>4.28</v>
      </c>
      <c r="D14" s="188"/>
      <c r="E14" s="188"/>
      <c r="F14" s="188"/>
    </row>
    <row r="15" spans="1:33" ht="15.6" x14ac:dyDescent="0.3">
      <c r="A15" s="8" t="s">
        <v>8</v>
      </c>
      <c r="B15" s="6" t="s">
        <v>9</v>
      </c>
      <c r="C15" s="187">
        <v>1.87</v>
      </c>
      <c r="D15" s="188"/>
      <c r="E15" s="188"/>
      <c r="F15" s="188"/>
      <c r="M15" s="197"/>
      <c r="P15" s="197"/>
    </row>
    <row r="16" spans="1:33" ht="31.2" x14ac:dyDescent="0.3">
      <c r="A16" s="8" t="s">
        <v>10</v>
      </c>
      <c r="B16" s="6" t="s">
        <v>11</v>
      </c>
      <c r="C16" s="187">
        <v>0.4803</v>
      </c>
      <c r="D16" s="188"/>
      <c r="E16" s="188"/>
      <c r="F16" s="188"/>
      <c r="M16" s="197"/>
      <c r="P16" s="197"/>
    </row>
    <row r="17" spans="1:16" ht="31.2" x14ac:dyDescent="0.3">
      <c r="A17" s="8" t="s">
        <v>12</v>
      </c>
      <c r="B17" s="6" t="s">
        <v>13</v>
      </c>
      <c r="C17" s="187">
        <v>0.37323000000000001</v>
      </c>
      <c r="D17" s="188"/>
      <c r="E17" s="188"/>
      <c r="F17" s="188"/>
    </row>
    <row r="18" spans="1:16" ht="31.2" x14ac:dyDescent="0.3">
      <c r="A18" s="8" t="s">
        <v>14</v>
      </c>
      <c r="B18" s="6" t="s">
        <v>15</v>
      </c>
      <c r="C18" s="187">
        <v>7.8049999999999994E-2</v>
      </c>
      <c r="D18" s="188"/>
      <c r="E18" s="188"/>
      <c r="F18" s="188"/>
      <c r="M18" s="197"/>
      <c r="P18" s="197"/>
    </row>
    <row r="19" spans="1:16" ht="31.2" x14ac:dyDescent="0.3">
      <c r="A19" s="8" t="s">
        <v>16</v>
      </c>
      <c r="B19" s="6" t="s">
        <v>17</v>
      </c>
      <c r="C19" s="187">
        <v>1.2508E-2</v>
      </c>
      <c r="D19" s="188"/>
      <c r="E19" s="188"/>
      <c r="F19" s="188"/>
      <c r="M19" s="197"/>
    </row>
    <row r="20" spans="1:16" ht="31.2" x14ac:dyDescent="0.3">
      <c r="A20" s="8" t="s">
        <v>18</v>
      </c>
      <c r="B20" s="6" t="s">
        <v>19</v>
      </c>
      <c r="C20" s="187">
        <v>7.3050000000000004E-2</v>
      </c>
      <c r="D20" s="188"/>
      <c r="E20" s="188"/>
      <c r="F20" s="188"/>
      <c r="M20" s="197"/>
    </row>
    <row r="21" spans="1:16" ht="31.2" x14ac:dyDescent="0.3">
      <c r="A21" s="8" t="s">
        <v>20</v>
      </c>
      <c r="B21" s="6" t="s">
        <v>21</v>
      </c>
      <c r="C21" s="187">
        <v>0</v>
      </c>
      <c r="D21" s="188"/>
      <c r="E21" s="188"/>
      <c r="F21" s="188"/>
      <c r="M21" s="197"/>
    </row>
    <row r="22" spans="1:16" ht="31.2" x14ac:dyDescent="0.3">
      <c r="A22" s="8" t="s">
        <v>22</v>
      </c>
      <c r="B22" s="6" t="s">
        <v>23</v>
      </c>
      <c r="C22" s="187">
        <v>0</v>
      </c>
      <c r="D22" s="188"/>
      <c r="E22" s="188"/>
      <c r="F22" s="188"/>
    </row>
    <row r="23" spans="1:16" ht="15.6" x14ac:dyDescent="0.3">
      <c r="A23" s="8" t="s">
        <v>24</v>
      </c>
      <c r="B23" s="6" t="s">
        <v>25</v>
      </c>
      <c r="C23" s="9">
        <v>0</v>
      </c>
    </row>
    <row r="24" spans="1:16" ht="15.6" x14ac:dyDescent="0.3">
      <c r="A24" s="8" t="s">
        <v>26</v>
      </c>
      <c r="B24" s="6" t="s">
        <v>27</v>
      </c>
      <c r="C24" s="9">
        <v>0</v>
      </c>
    </row>
    <row r="25" spans="1:16" ht="15.6" x14ac:dyDescent="0.3">
      <c r="A25" s="8" t="s">
        <v>28</v>
      </c>
      <c r="B25" s="6" t="s">
        <v>29</v>
      </c>
      <c r="C25" s="9">
        <v>0</v>
      </c>
    </row>
    <row r="26" spans="1:16" ht="15.6" x14ac:dyDescent="0.3">
      <c r="A26" s="8" t="s">
        <v>30</v>
      </c>
      <c r="B26" s="6" t="s">
        <v>31</v>
      </c>
      <c r="C26" s="9">
        <v>0</v>
      </c>
    </row>
    <row r="27" spans="1:16" ht="15.6" x14ac:dyDescent="0.3">
      <c r="A27" s="8" t="s">
        <v>32</v>
      </c>
      <c r="B27" s="6" t="s">
        <v>33</v>
      </c>
      <c r="C27" s="9">
        <v>0</v>
      </c>
    </row>
    <row r="28" spans="1:16" ht="15.6" x14ac:dyDescent="0.3">
      <c r="A28" s="8" t="s">
        <v>34</v>
      </c>
      <c r="B28" s="6" t="s">
        <v>35</v>
      </c>
      <c r="C28" s="9">
        <v>0</v>
      </c>
    </row>
    <row r="29" spans="1:16" ht="15.6" x14ac:dyDescent="0.3">
      <c r="A29" s="8" t="s">
        <v>36</v>
      </c>
      <c r="B29" s="6" t="s">
        <v>37</v>
      </c>
      <c r="C29" s="9">
        <v>0</v>
      </c>
    </row>
    <row r="30" spans="1:16" ht="15.6" x14ac:dyDescent="0.3">
      <c r="A30" s="8" t="s">
        <v>38</v>
      </c>
      <c r="B30" s="6" t="s">
        <v>39</v>
      </c>
      <c r="C30" s="9">
        <v>0</v>
      </c>
    </row>
    <row r="31" spans="1:16" ht="15.6" x14ac:dyDescent="0.3">
      <c r="A31" s="8" t="s">
        <v>40</v>
      </c>
      <c r="B31" s="6" t="s">
        <v>41</v>
      </c>
      <c r="C31" s="9">
        <v>0</v>
      </c>
    </row>
    <row r="32" spans="1:16" ht="15.6" x14ac:dyDescent="0.3">
      <c r="A32" s="8" t="s">
        <v>42</v>
      </c>
      <c r="B32" s="6" t="s">
        <v>43</v>
      </c>
      <c r="C32" s="9">
        <v>0</v>
      </c>
      <c r="F32" s="239">
        <f>SUM(C13:C42)</f>
        <v>100.00056700000002</v>
      </c>
    </row>
    <row r="33" spans="1:3" ht="31.2" x14ac:dyDescent="0.3">
      <c r="A33" s="8" t="s">
        <v>44</v>
      </c>
      <c r="B33" s="6" t="s">
        <v>45</v>
      </c>
      <c r="C33" s="9">
        <v>0</v>
      </c>
    </row>
    <row r="34" spans="1:3" ht="15.6" x14ac:dyDescent="0.3">
      <c r="A34" s="8" t="s">
        <v>46</v>
      </c>
      <c r="B34" s="6" t="s">
        <v>47</v>
      </c>
      <c r="C34" s="9">
        <v>0</v>
      </c>
    </row>
    <row r="35" spans="1:3" ht="15.6" x14ac:dyDescent="0.3">
      <c r="A35" s="8" t="s">
        <v>48</v>
      </c>
      <c r="B35" s="6" t="s">
        <v>49</v>
      </c>
      <c r="C35" s="9">
        <v>0</v>
      </c>
    </row>
    <row r="36" spans="1:3" ht="15.6" x14ac:dyDescent="0.3">
      <c r="A36" s="8" t="s">
        <v>50</v>
      </c>
      <c r="B36" s="6" t="s">
        <v>51</v>
      </c>
      <c r="C36" s="9">
        <v>0</v>
      </c>
    </row>
    <row r="37" spans="1:3" ht="15.6" x14ac:dyDescent="0.3">
      <c r="A37" s="8" t="s">
        <v>52</v>
      </c>
      <c r="B37" s="6" t="s">
        <v>53</v>
      </c>
      <c r="C37" s="9">
        <v>0</v>
      </c>
    </row>
    <row r="38" spans="1:3" ht="31.2" x14ac:dyDescent="0.3">
      <c r="A38" s="8" t="s">
        <v>54</v>
      </c>
      <c r="B38" s="6" t="s">
        <v>55</v>
      </c>
      <c r="C38" s="9">
        <v>0</v>
      </c>
    </row>
    <row r="39" spans="1:3" ht="15.6" x14ac:dyDescent="0.3">
      <c r="A39" s="8" t="s">
        <v>56</v>
      </c>
      <c r="B39" s="6" t="s">
        <v>57</v>
      </c>
      <c r="C39" s="9">
        <v>0.193909</v>
      </c>
    </row>
    <row r="40" spans="1:3" ht="15.6" x14ac:dyDescent="0.3">
      <c r="A40" s="8" t="s">
        <v>58</v>
      </c>
      <c r="B40" s="6"/>
      <c r="C40" s="9">
        <v>0</v>
      </c>
    </row>
    <row r="41" spans="1:3" ht="15.6" x14ac:dyDescent="0.3">
      <c r="A41" s="8" t="s">
        <v>59</v>
      </c>
      <c r="B41" s="6" t="s">
        <v>60</v>
      </c>
      <c r="C41" s="9">
        <v>0</v>
      </c>
    </row>
    <row r="42" spans="1:3" ht="31.2" x14ac:dyDescent="0.3">
      <c r="A42" s="8" t="s">
        <v>61</v>
      </c>
      <c r="B42" s="6" t="s">
        <v>62</v>
      </c>
      <c r="C42" s="9">
        <v>0.84052000000000004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Tables">
                <anchor moveWithCells="1">
                  <from>
                    <xdr:col>3</xdr:col>
                    <xdr:colOff>137160</xdr:colOff>
                    <xdr:row>4</xdr:row>
                    <xdr:rowOff>99060</xdr:rowOff>
                  </from>
                  <to>
                    <xdr:col>5</xdr:col>
                    <xdr:colOff>601980</xdr:colOff>
                    <xdr:row>7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alculate.TransferValuesToNewTable">
                <anchor moveWithCells="1" sizeWithCells="1">
                  <from>
                    <xdr:col>3</xdr:col>
                    <xdr:colOff>144780</xdr:colOff>
                    <xdr:row>10</xdr:row>
                    <xdr:rowOff>121920</xdr:rowOff>
                  </from>
                  <to>
                    <xdr:col>5</xdr:col>
                    <xdr:colOff>601980</xdr:colOff>
                    <xdr:row>10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NewTables">
                <anchor moveWithCells="1" sizeWithCells="1">
                  <from>
                    <xdr:col>3</xdr:col>
                    <xdr:colOff>137160</xdr:colOff>
                    <xdr:row>7</xdr:row>
                    <xdr:rowOff>312420</xdr:rowOff>
                  </from>
                  <to>
                    <xdr:col>5</xdr:col>
                    <xdr:colOff>601980</xdr:colOff>
                    <xdr:row>10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.DeleteSelectedCells">
                <anchor moveWithCells="1" sizeWithCells="1">
                  <from>
                    <xdr:col>3</xdr:col>
                    <xdr:colOff>121920</xdr:colOff>
                    <xdr:row>11</xdr:row>
                    <xdr:rowOff>60960</xdr:rowOff>
                  </from>
                  <to>
                    <xdr:col>5</xdr:col>
                    <xdr:colOff>579120</xdr:colOff>
                    <xdr:row>14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/>
  <dimension ref="A4:BY54"/>
  <sheetViews>
    <sheetView topLeftCell="I44" zoomScaleNormal="100" workbookViewId="0">
      <selection activeCell="L12" sqref="L12"/>
    </sheetView>
  </sheetViews>
  <sheetFormatPr defaultRowHeight="14.4" x14ac:dyDescent="0.3"/>
  <cols>
    <col min="6" max="6" width="11" bestFit="1" customWidth="1"/>
    <col min="11" max="11" width="10" bestFit="1" customWidth="1"/>
    <col min="16" max="17" width="7" bestFit="1" customWidth="1"/>
    <col min="20" max="21" width="7" bestFit="1" customWidth="1"/>
    <col min="24" max="25" width="7" bestFit="1" customWidth="1"/>
    <col min="28" max="29" width="7" bestFit="1" customWidth="1"/>
    <col min="32" max="33" width="7" bestFit="1" customWidth="1"/>
    <col min="36" max="37" width="7" bestFit="1" customWidth="1"/>
    <col min="40" max="41" width="6" bestFit="1" customWidth="1"/>
    <col min="45" max="45" width="7.77734375" bestFit="1" customWidth="1"/>
    <col min="48" max="49" width="12" bestFit="1" customWidth="1"/>
    <col min="52" max="53" width="12" bestFit="1" customWidth="1"/>
  </cols>
  <sheetData>
    <row r="4" spans="1:77" ht="20.399999999999999" x14ac:dyDescent="0.35">
      <c r="A4" s="213" t="s">
        <v>67</v>
      </c>
      <c r="B4" s="214"/>
      <c r="C4" s="214"/>
      <c r="D4" s="214"/>
      <c r="E4" s="214"/>
      <c r="F4" s="215"/>
    </row>
    <row r="5" spans="1:77" ht="15" customHeight="1" x14ac:dyDescent="0.3">
      <c r="A5" s="219" t="s">
        <v>81</v>
      </c>
      <c r="B5" s="220"/>
      <c r="C5" s="220"/>
      <c r="D5" s="220"/>
      <c r="E5" s="221"/>
      <c r="F5" s="190">
        <f>ROUNDDOWN(F19*(F15*($F$11+0.101325)/((($F$12+273.15)/293.15*$F$14)*0.101325)),0)</f>
        <v>193550</v>
      </c>
    </row>
    <row r="6" spans="1:77" x14ac:dyDescent="0.3">
      <c r="A6" s="216" t="s">
        <v>68</v>
      </c>
      <c r="B6" s="217"/>
      <c r="C6" s="217"/>
      <c r="D6" s="217"/>
      <c r="E6" s="218"/>
      <c r="F6" s="11">
        <v>412</v>
      </c>
    </row>
    <row r="7" spans="1:77" x14ac:dyDescent="0.3">
      <c r="A7" s="216" t="s">
        <v>69</v>
      </c>
      <c r="B7" s="217"/>
      <c r="C7" s="217"/>
      <c r="D7" s="217"/>
      <c r="E7" s="218"/>
      <c r="F7" s="11">
        <v>16</v>
      </c>
    </row>
    <row r="8" spans="1:77" x14ac:dyDescent="0.3">
      <c r="A8" s="216" t="s">
        <v>70</v>
      </c>
      <c r="B8" s="217"/>
      <c r="C8" s="217"/>
      <c r="D8" s="217"/>
      <c r="E8" s="218"/>
      <c r="F8" s="10">
        <f>(F6)-2*(F7)</f>
        <v>380</v>
      </c>
    </row>
    <row r="9" spans="1:77" ht="16.2" x14ac:dyDescent="0.3">
      <c r="A9" s="216" t="s">
        <v>71</v>
      </c>
      <c r="B9" s="217"/>
      <c r="C9" s="217"/>
      <c r="D9" s="217"/>
      <c r="E9" s="218"/>
      <c r="F9" s="10">
        <f>ROUND(0.785*((F6/1000)-2*(F7/1000))^2,4)</f>
        <v>0.1134</v>
      </c>
    </row>
    <row r="10" spans="1:77" ht="15.75" customHeight="1" thickBot="1" x14ac:dyDescent="0.4">
      <c r="A10" s="216" t="s">
        <v>72</v>
      </c>
      <c r="B10" s="217"/>
      <c r="C10" s="217"/>
      <c r="D10" s="217"/>
      <c r="E10" s="218"/>
      <c r="F10" s="10">
        <f>F11*10</f>
        <v>12</v>
      </c>
    </row>
    <row r="11" spans="1:77" ht="18.600000000000001" thickTop="1" x14ac:dyDescent="0.35">
      <c r="A11" s="216" t="s">
        <v>73</v>
      </c>
      <c r="B11" s="217"/>
      <c r="C11" s="217"/>
      <c r="D11" s="217"/>
      <c r="E11" s="218"/>
      <c r="F11" s="12">
        <v>1.2</v>
      </c>
      <c r="K11" s="205" t="s">
        <v>318</v>
      </c>
      <c r="L11" s="204"/>
      <c r="M11" s="204"/>
      <c r="N11" s="204"/>
      <c r="O11" s="204"/>
      <c r="P11" s="204"/>
      <c r="Q11" s="204"/>
      <c r="R11" s="204"/>
      <c r="S11" s="204"/>
      <c r="T11" s="204"/>
      <c r="U11" s="204"/>
      <c r="V11" s="204"/>
      <c r="W11" s="204"/>
      <c r="X11" s="204"/>
      <c r="Y11" s="204"/>
      <c r="Z11" s="204"/>
      <c r="AA11" s="204"/>
      <c r="AB11" s="204"/>
      <c r="AC11" s="204"/>
      <c r="AD11" s="204"/>
      <c r="AE11" s="204"/>
      <c r="AF11" s="204"/>
      <c r="AG11" s="204"/>
      <c r="AH11" s="204"/>
      <c r="AI11" s="204"/>
      <c r="AJ11" s="204"/>
      <c r="AK11" s="204"/>
      <c r="AL11" s="204"/>
      <c r="AM11" s="204"/>
      <c r="AN11" s="204"/>
      <c r="AO11" s="204"/>
      <c r="AP11" s="204"/>
      <c r="AQ11" s="208"/>
      <c r="AT11" s="203">
        <v>1.2</v>
      </c>
      <c r="AU11" s="203">
        <v>1.4</v>
      </c>
      <c r="AV11" s="203">
        <v>1.6</v>
      </c>
      <c r="AW11" s="203">
        <v>1.8</v>
      </c>
      <c r="AX11" s="203">
        <v>2</v>
      </c>
      <c r="AY11" s="203">
        <v>2.2000000000000002</v>
      </c>
      <c r="AZ11" s="203">
        <v>2.4000000000000004</v>
      </c>
      <c r="BA11" s="203">
        <v>2.6</v>
      </c>
      <c r="BB11" s="203">
        <v>2.8</v>
      </c>
      <c r="BC11" s="203">
        <v>3</v>
      </c>
      <c r="BD11" s="203">
        <v>3.2</v>
      </c>
      <c r="BE11" s="203">
        <v>3.4000000000000004</v>
      </c>
      <c r="BF11" s="203">
        <v>3.6000000000000005</v>
      </c>
      <c r="BG11" s="203">
        <v>3.8</v>
      </c>
      <c r="BH11" s="203">
        <v>4</v>
      </c>
      <c r="BI11" s="203">
        <v>4.2</v>
      </c>
      <c r="BJ11" s="203">
        <v>4.4000000000000004</v>
      </c>
      <c r="BK11" s="203">
        <v>4.6000000000000005</v>
      </c>
      <c r="BL11" s="203">
        <v>4.8</v>
      </c>
      <c r="BM11" s="203">
        <v>5</v>
      </c>
      <c r="BN11" s="203">
        <v>5.2</v>
      </c>
      <c r="BO11" s="203">
        <v>5.4</v>
      </c>
      <c r="BP11" s="203">
        <v>5.6000000000000005</v>
      </c>
      <c r="BQ11" s="203">
        <v>5.8000000000000007</v>
      </c>
      <c r="BR11" s="203">
        <v>6.0000000000000009</v>
      </c>
      <c r="BS11" s="203">
        <v>6.2</v>
      </c>
      <c r="BT11" s="203">
        <v>6.4</v>
      </c>
      <c r="BU11" s="203">
        <v>6.6000000000000005</v>
      </c>
      <c r="BV11" s="203">
        <v>6.8000000000000007</v>
      </c>
      <c r="BW11" s="203">
        <v>7.0000000000000009</v>
      </c>
      <c r="BX11" s="203">
        <v>7.2</v>
      </c>
      <c r="BY11" s="203">
        <v>7.4</v>
      </c>
    </row>
    <row r="12" spans="1:77" ht="16.8" x14ac:dyDescent="0.35">
      <c r="A12" s="216" t="s">
        <v>74</v>
      </c>
      <c r="B12" s="217"/>
      <c r="C12" s="217"/>
      <c r="D12" s="217"/>
      <c r="E12" s="218"/>
      <c r="F12" s="191">
        <v>5</v>
      </c>
      <c r="K12" s="206" t="s">
        <v>323</v>
      </c>
      <c r="L12" s="203">
        <v>1.2</v>
      </c>
      <c r="M12" s="203">
        <v>1.4</v>
      </c>
      <c r="N12" s="203">
        <v>1.6</v>
      </c>
      <c r="O12" s="203">
        <v>1.8</v>
      </c>
      <c r="P12" s="203">
        <v>2</v>
      </c>
      <c r="Q12" s="203">
        <v>2.2000000000000002</v>
      </c>
      <c r="R12" s="203">
        <v>2.4000000000000004</v>
      </c>
      <c r="S12" s="203">
        <v>2.6</v>
      </c>
      <c r="T12" s="203">
        <v>2.8</v>
      </c>
      <c r="U12" s="203">
        <v>3</v>
      </c>
      <c r="V12" s="203">
        <v>3.2</v>
      </c>
      <c r="W12" s="203">
        <v>3.4000000000000004</v>
      </c>
      <c r="X12" s="203">
        <v>3.6000000000000005</v>
      </c>
      <c r="Y12" s="203">
        <v>3.8</v>
      </c>
      <c r="Z12" s="203">
        <v>4</v>
      </c>
      <c r="AA12" s="203">
        <v>4.2</v>
      </c>
      <c r="AB12" s="203">
        <v>4.4000000000000004</v>
      </c>
      <c r="AC12" s="203">
        <v>4.6000000000000005</v>
      </c>
      <c r="AD12" s="203">
        <v>4.8</v>
      </c>
      <c r="AE12" s="203">
        <v>5</v>
      </c>
      <c r="AF12" s="203">
        <v>5.2</v>
      </c>
      <c r="AG12" s="203">
        <v>5.4</v>
      </c>
      <c r="AH12" s="203">
        <v>5.6000000000000005</v>
      </c>
      <c r="AI12" s="203">
        <v>5.8000000000000007</v>
      </c>
      <c r="AJ12" s="203">
        <v>6.0000000000000009</v>
      </c>
      <c r="AK12" s="203">
        <v>6.2</v>
      </c>
      <c r="AL12" s="203">
        <v>6.4</v>
      </c>
      <c r="AM12" s="203">
        <v>6.6000000000000005</v>
      </c>
      <c r="AN12" s="203">
        <v>6.8000000000000007</v>
      </c>
      <c r="AO12" s="203">
        <v>7.0000000000000009</v>
      </c>
      <c r="AP12" s="203">
        <v>7.2</v>
      </c>
      <c r="AQ12" s="209">
        <v>7.4</v>
      </c>
      <c r="AS12" s="203" t="s">
        <v>324</v>
      </c>
      <c r="AT12" s="203">
        <v>11.23389644483937</v>
      </c>
      <c r="AU12" s="203">
        <v>12.469715024361992</v>
      </c>
      <c r="AV12" s="203">
        <v>13.699253106859162</v>
      </c>
      <c r="AW12" s="203">
        <v>14.921436252454601</v>
      </c>
      <c r="AX12" s="203">
        <v>16.135215714307535</v>
      </c>
      <c r="AY12" s="203">
        <v>17.339568438612709</v>
      </c>
      <c r="AZ12" s="203">
        <v>18.533497064600365</v>
      </c>
      <c r="BA12" s="203">
        <v>19.716029924536265</v>
      </c>
      <c r="BB12" s="203">
        <v>20.886221043721665</v>
      </c>
      <c r="BC12" s="203">
        <v>22.043150140493356</v>
      </c>
      <c r="BD12" s="203">
        <v>23.185922626223618</v>
      </c>
      <c r="BE12" s="203">
        <v>24.313669605320246</v>
      </c>
      <c r="BF12" s="203">
        <v>25.425547875226549</v>
      </c>
      <c r="BG12" s="203">
        <v>26.520739926421331</v>
      </c>
      <c r="BH12" s="203">
        <v>27.598453942418935</v>
      </c>
      <c r="BI12" s="203">
        <v>28.657923799769172</v>
      </c>
      <c r="BJ12" s="203">
        <v>29.698409068057408</v>
      </c>
      <c r="BK12" s="203">
        <v>30.719195009904482</v>
      </c>
      <c r="BL12" s="203">
        <v>31.719592580966765</v>
      </c>
      <c r="BM12" s="203">
        <v>32.698938429936121</v>
      </c>
      <c r="BN12" s="203">
        <v>33.656594898539936</v>
      </c>
      <c r="BO12" s="203">
        <v>34.591950021541095</v>
      </c>
      <c r="BP12" s="203">
        <v>35.50441752673801</v>
      </c>
      <c r="BQ12" s="203">
        <v>36.393436834964589</v>
      </c>
      <c r="BR12" s="203">
        <v>37.258473060090253</v>
      </c>
      <c r="BS12" s="203">
        <v>38.099017009019924</v>
      </c>
      <c r="BT12" s="203">
        <v>38.914585181694044</v>
      </c>
      <c r="BU12" s="203">
        <v>39.704719771088556</v>
      </c>
      <c r="BV12" s="203">
        <v>40.468988663214937</v>
      </c>
      <c r="BW12" s="203">
        <v>41.206985437120146</v>
      </c>
      <c r="BX12" s="203">
        <v>41.918329364886645</v>
      </c>
      <c r="BY12" s="203">
        <v>42.602665411632437</v>
      </c>
    </row>
    <row r="13" spans="1:77" ht="16.8" thickBot="1" x14ac:dyDescent="0.35">
      <c r="A13" s="216" t="s">
        <v>75</v>
      </c>
      <c r="B13" s="217"/>
      <c r="C13" s="217"/>
      <c r="D13" s="217"/>
      <c r="E13" s="218"/>
      <c r="F13" s="192">
        <f>Свх!F9</f>
        <v>221.31</v>
      </c>
      <c r="K13" s="207" t="s">
        <v>81</v>
      </c>
      <c r="L13" s="210">
        <v>328976</v>
      </c>
      <c r="M13" s="210">
        <v>296372</v>
      </c>
      <c r="N13" s="210">
        <v>269772</v>
      </c>
      <c r="O13" s="210">
        <v>247676</v>
      </c>
      <c r="P13" s="210">
        <v>229044</v>
      </c>
      <c r="Q13" s="210">
        <v>213136</v>
      </c>
      <c r="R13" s="210">
        <v>199405</v>
      </c>
      <c r="S13" s="210">
        <v>187445</v>
      </c>
      <c r="T13" s="210">
        <v>176943</v>
      </c>
      <c r="U13" s="210">
        <v>167657</v>
      </c>
      <c r="V13" s="210">
        <v>159393</v>
      </c>
      <c r="W13" s="210">
        <v>152000</v>
      </c>
      <c r="X13" s="210">
        <v>145353</v>
      </c>
      <c r="Y13" s="210">
        <v>139351</v>
      </c>
      <c r="Z13" s="210">
        <v>133909</v>
      </c>
      <c r="AA13" s="210">
        <v>128958</v>
      </c>
      <c r="AB13" s="210">
        <v>124440</v>
      </c>
      <c r="AC13" s="210">
        <v>120305</v>
      </c>
      <c r="AD13" s="210">
        <v>116511</v>
      </c>
      <c r="AE13" s="210">
        <v>113021</v>
      </c>
      <c r="AF13" s="210">
        <v>109806</v>
      </c>
      <c r="AG13" s="210">
        <v>106836</v>
      </c>
      <c r="AH13" s="210">
        <v>104091</v>
      </c>
      <c r="AI13" s="210">
        <v>101548</v>
      </c>
      <c r="AJ13" s="210">
        <v>99190</v>
      </c>
      <c r="AK13" s="210">
        <v>97002</v>
      </c>
      <c r="AL13" s="210">
        <v>94969</v>
      </c>
      <c r="AM13" s="210">
        <v>93079</v>
      </c>
      <c r="AN13" s="210">
        <v>91321</v>
      </c>
      <c r="AO13" s="210">
        <v>89686</v>
      </c>
      <c r="AP13" s="210">
        <v>88164</v>
      </c>
      <c r="AQ13" s="211">
        <v>86748</v>
      </c>
      <c r="AS13" s="203" t="s">
        <v>325</v>
      </c>
      <c r="AT13" s="203">
        <v>10.610506800355434</v>
      </c>
      <c r="AU13" s="203">
        <v>11.847238772331826</v>
      </c>
      <c r="AV13" s="203">
        <v>13.077877884940651</v>
      </c>
      <c r="AW13" s="203">
        <v>14.301346486676188</v>
      </c>
      <c r="AX13" s="203">
        <v>15.516592619068229</v>
      </c>
      <c r="AY13" s="203">
        <v>16.722590016682076</v>
      </c>
      <c r="AZ13" s="203">
        <v>17.918338107118533</v>
      </c>
      <c r="BA13" s="203">
        <v>19.102862011013919</v>
      </c>
      <c r="BB13" s="203">
        <v>20.275212542040066</v>
      </c>
      <c r="BC13" s="203">
        <v>21.434466206904311</v>
      </c>
      <c r="BD13" s="203">
        <v>22.579725205349501</v>
      </c>
      <c r="BE13" s="203">
        <v>23.710117430153993</v>
      </c>
      <c r="BF13" s="203">
        <v>24.824796467131652</v>
      </c>
      <c r="BG13" s="203">
        <v>25.922941595131853</v>
      </c>
      <c r="BH13" s="203">
        <v>27.00375778603949</v>
      </c>
      <c r="BI13" s="203">
        <v>28.066475704774945</v>
      </c>
      <c r="BJ13" s="203">
        <v>29.11035170929414</v>
      </c>
      <c r="BK13" s="203">
        <v>30.134667850588471</v>
      </c>
      <c r="BL13" s="203">
        <v>31.138731872684879</v>
      </c>
      <c r="BM13" s="203">
        <v>32.121877212645785</v>
      </c>
      <c r="BN13" s="203">
        <v>33.083463000569139</v>
      </c>
      <c r="BO13" s="203">
        <v>34.022874059588389</v>
      </c>
      <c r="BP13" s="203">
        <v>34.939520905872492</v>
      </c>
      <c r="BQ13" s="203">
        <v>35.832839748625943</v>
      </c>
      <c r="BR13" s="203">
        <v>36.702292490088695</v>
      </c>
      <c r="BS13" s="203">
        <v>37.547366725536264</v>
      </c>
      <c r="BT13" s="203">
        <v>38.367575743279623</v>
      </c>
      <c r="BU13" s="203">
        <v>39.162458524665297</v>
      </c>
      <c r="BV13" s="203">
        <v>39.931579744075314</v>
      </c>
      <c r="BW13" s="203">
        <v>40.674529768927201</v>
      </c>
      <c r="BX13" s="203">
        <v>41.390924659673978</v>
      </c>
      <c r="BY13" s="203">
        <v>42.080406169804213</v>
      </c>
    </row>
    <row r="14" spans="1:77" ht="15.6" thickTop="1" thickBot="1" x14ac:dyDescent="0.35">
      <c r="A14" s="216" t="s">
        <v>76</v>
      </c>
      <c r="B14" s="217"/>
      <c r="C14" s="217"/>
      <c r="D14" s="217"/>
      <c r="E14" s="218"/>
      <c r="F14" s="189">
        <f>Свх!F37</f>
        <v>0.71499999999999997</v>
      </c>
      <c r="AS14" s="203" t="s">
        <v>326</v>
      </c>
      <c r="AT14" s="203">
        <v>9.9871171558714966</v>
      </c>
      <c r="AU14" s="203">
        <v>11.22476252030166</v>
      </c>
      <c r="AV14" s="203">
        <v>12.456502663022139</v>
      </c>
      <c r="AW14" s="203">
        <v>13.681256720897775</v>
      </c>
      <c r="AX14" s="203">
        <v>14.897969523828921</v>
      </c>
      <c r="AY14" s="203">
        <v>16.105611594751437</v>
      </c>
      <c r="AZ14" s="203">
        <v>17.303179149636698</v>
      </c>
      <c r="BA14" s="203">
        <v>18.489694097491576</v>
      </c>
      <c r="BB14" s="203">
        <v>19.664204040358463</v>
      </c>
      <c r="BC14" s="203">
        <v>20.825782273315262</v>
      </c>
      <c r="BD14" s="203">
        <v>21.97352778447538</v>
      </c>
      <c r="BE14" s="203">
        <v>23.106565254987732</v>
      </c>
      <c r="BF14" s="203">
        <v>24.224045059036751</v>
      </c>
      <c r="BG14" s="203">
        <v>25.325143263842371</v>
      </c>
      <c r="BH14" s="203">
        <v>26.409061629660044</v>
      </c>
      <c r="BI14" s="203">
        <v>27.475027609780714</v>
      </c>
      <c r="BJ14" s="203">
        <v>28.522294350530863</v>
      </c>
      <c r="BK14" s="203">
        <v>29.550140691272457</v>
      </c>
      <c r="BL14" s="203">
        <v>30.557871164402989</v>
      </c>
      <c r="BM14" s="203">
        <v>31.544815995355446</v>
      </c>
      <c r="BN14" s="203">
        <v>32.510331102598336</v>
      </c>
      <c r="BO14" s="203">
        <v>33.453798097635669</v>
      </c>
      <c r="BP14" s="203">
        <v>34.374624285006973</v>
      </c>
      <c r="BQ14" s="203">
        <v>35.272242662287283</v>
      </c>
      <c r="BR14" s="203">
        <v>36.146111920087137</v>
      </c>
      <c r="BS14" s="203">
        <v>36.995716442052597</v>
      </c>
      <c r="BT14" s="203">
        <v>37.820566304865203</v>
      </c>
      <c r="BU14" s="203">
        <v>38.620197278242038</v>
      </c>
      <c r="BV14" s="203">
        <v>39.394170824935692</v>
      </c>
      <c r="BW14" s="203">
        <v>40.142074100734256</v>
      </c>
      <c r="BX14" s="203">
        <v>40.86351995446131</v>
      </c>
      <c r="BY14" s="203">
        <v>41.558146927975983</v>
      </c>
    </row>
    <row r="15" spans="1:77" ht="17.399999999999999" thickTop="1" x14ac:dyDescent="0.35">
      <c r="A15" s="216" t="s">
        <v>77</v>
      </c>
      <c r="B15" s="217"/>
      <c r="C15" s="217"/>
      <c r="D15" s="217"/>
      <c r="E15" s="218"/>
      <c r="F15" s="189">
        <f>F16*3600</f>
        <v>10224</v>
      </c>
      <c r="K15" s="205" t="s">
        <v>318</v>
      </c>
      <c r="L15" s="204"/>
      <c r="M15" s="204"/>
      <c r="N15" s="204"/>
      <c r="O15" s="204"/>
      <c r="P15" s="204"/>
      <c r="Q15" s="204"/>
      <c r="R15" s="204"/>
      <c r="S15" s="204"/>
      <c r="T15" s="204"/>
      <c r="U15" s="204"/>
      <c r="V15" s="204"/>
      <c r="W15" s="204"/>
      <c r="X15" s="204"/>
      <c r="Y15" s="204"/>
      <c r="Z15" s="204"/>
      <c r="AA15" s="204"/>
      <c r="AB15" s="204"/>
      <c r="AC15" s="204"/>
      <c r="AD15" s="204"/>
      <c r="AE15" s="204"/>
      <c r="AF15" s="204"/>
      <c r="AG15" s="204"/>
      <c r="AH15" s="204"/>
      <c r="AI15" s="204"/>
      <c r="AJ15" s="204"/>
      <c r="AK15" s="204"/>
      <c r="AL15" s="204"/>
      <c r="AM15" s="204"/>
      <c r="AN15" s="204"/>
      <c r="AO15" s="204"/>
      <c r="AP15" s="204"/>
      <c r="AQ15" s="208"/>
      <c r="AS15" s="203" t="s">
        <v>327</v>
      </c>
      <c r="AT15" s="203">
        <v>9.3637275113875589</v>
      </c>
      <c r="AU15" s="203">
        <v>10.602286268271495</v>
      </c>
      <c r="AV15" s="203">
        <v>11.835127441103628</v>
      </c>
      <c r="AW15" s="203">
        <v>13.061166955119363</v>
      </c>
      <c r="AX15" s="203">
        <v>14.279346428589614</v>
      </c>
      <c r="AY15" s="203">
        <v>15.488633172820803</v>
      </c>
      <c r="AZ15" s="203">
        <v>16.688020192154863</v>
      </c>
      <c r="BA15" s="203">
        <v>17.876526183969233</v>
      </c>
      <c r="BB15" s="203">
        <v>19.05319553867686</v>
      </c>
      <c r="BC15" s="203">
        <v>20.217098339726213</v>
      </c>
      <c r="BD15" s="203">
        <v>21.367330363601258</v>
      </c>
      <c r="BE15" s="203">
        <v>22.503013079821475</v>
      </c>
      <c r="BF15" s="203">
        <v>23.623293650941854</v>
      </c>
      <c r="BG15" s="203">
        <v>24.727344932552889</v>
      </c>
      <c r="BH15" s="203">
        <v>25.814365473280596</v>
      </c>
      <c r="BI15" s="203">
        <v>26.883579514786486</v>
      </c>
      <c r="BJ15" s="203">
        <v>27.934236991767595</v>
      </c>
      <c r="BK15" s="203">
        <v>28.96561353195645</v>
      </c>
      <c r="BL15" s="203">
        <v>29.977010456121107</v>
      </c>
      <c r="BM15" s="203">
        <v>30.96775477806511</v>
      </c>
      <c r="BN15" s="203">
        <v>31.937199204627539</v>
      </c>
      <c r="BO15" s="203">
        <v>32.884722135682956</v>
      </c>
      <c r="BP15" s="203">
        <v>33.809727664141448</v>
      </c>
      <c r="BQ15" s="203">
        <v>34.711645575948637</v>
      </c>
      <c r="BR15" s="203">
        <v>35.589931350085585</v>
      </c>
      <c r="BS15" s="203">
        <v>36.44406615856893</v>
      </c>
      <c r="BT15" s="203">
        <v>37.273556866450782</v>
      </c>
      <c r="BU15" s="203">
        <v>38.07793603181878</v>
      </c>
      <c r="BV15" s="203">
        <v>38.856761905796077</v>
      </c>
      <c r="BW15" s="203">
        <v>39.609618432541318</v>
      </c>
      <c r="BX15" s="203">
        <v>40.336115249248643</v>
      </c>
      <c r="BY15" s="203">
        <v>41.035887686147753</v>
      </c>
    </row>
    <row r="16" spans="1:77" ht="16.8" x14ac:dyDescent="0.35">
      <c r="A16" s="216" t="s">
        <v>78</v>
      </c>
      <c r="B16" s="217"/>
      <c r="C16" s="217"/>
      <c r="D16" s="217"/>
      <c r="E16" s="218"/>
      <c r="F16" s="192">
        <f>ROUND(F17*F9,2)</f>
        <v>2.84</v>
      </c>
      <c r="K16" s="206" t="s">
        <v>323</v>
      </c>
      <c r="L16" s="203">
        <v>1.2</v>
      </c>
      <c r="M16" s="203">
        <v>1.4</v>
      </c>
      <c r="N16" s="203">
        <v>1.6</v>
      </c>
      <c r="O16" s="203">
        <v>1.8</v>
      </c>
      <c r="P16" s="203">
        <v>2</v>
      </c>
      <c r="Q16" s="203">
        <v>2.2000000000000002</v>
      </c>
      <c r="R16" s="203">
        <v>2.4000000000000004</v>
      </c>
      <c r="S16" s="203">
        <v>2.6</v>
      </c>
      <c r="T16" s="203">
        <v>2.8</v>
      </c>
      <c r="U16" s="203">
        <v>3</v>
      </c>
      <c r="V16" s="203">
        <v>3.2</v>
      </c>
      <c r="W16" s="203">
        <v>3.4000000000000004</v>
      </c>
      <c r="X16" s="203">
        <v>3.6000000000000005</v>
      </c>
      <c r="Y16" s="203">
        <v>3.8</v>
      </c>
      <c r="Z16" s="203">
        <v>4</v>
      </c>
      <c r="AA16" s="203">
        <v>4.2</v>
      </c>
      <c r="AB16" s="203">
        <v>4.4000000000000004</v>
      </c>
      <c r="AC16" s="203">
        <v>4.6000000000000005</v>
      </c>
      <c r="AD16" s="203">
        <v>4.8</v>
      </c>
      <c r="AE16" s="203">
        <v>5</v>
      </c>
      <c r="AF16" s="203">
        <v>5.2</v>
      </c>
      <c r="AG16" s="203">
        <v>5.4</v>
      </c>
      <c r="AH16" s="203">
        <v>5.6000000000000005</v>
      </c>
      <c r="AI16" s="203">
        <v>5.8000000000000007</v>
      </c>
      <c r="AJ16" s="203">
        <v>6.0000000000000009</v>
      </c>
      <c r="AK16" s="203">
        <v>6.2</v>
      </c>
      <c r="AL16" s="203">
        <v>6.4</v>
      </c>
      <c r="AM16" s="203">
        <v>6.6000000000000005</v>
      </c>
      <c r="AN16" s="203">
        <v>6.8000000000000007</v>
      </c>
      <c r="AO16" s="203">
        <v>7.0000000000000009</v>
      </c>
      <c r="AP16" s="203">
        <v>7.2</v>
      </c>
      <c r="AQ16" s="209">
        <v>7.4</v>
      </c>
      <c r="AS16" s="203" t="s">
        <v>328</v>
      </c>
      <c r="AT16" s="203">
        <v>8.7403378669036229</v>
      </c>
      <c r="AU16" s="203">
        <v>9.979810016241327</v>
      </c>
      <c r="AV16" s="203">
        <v>11.213752219185116</v>
      </c>
      <c r="AW16" s="203">
        <v>12.44107718934095</v>
      </c>
      <c r="AX16" s="203">
        <v>13.660723333350305</v>
      </c>
      <c r="AY16" s="203">
        <v>14.871654750890167</v>
      </c>
      <c r="AZ16" s="203">
        <v>16.072861234673027</v>
      </c>
      <c r="BA16" s="203">
        <v>17.263358270446886</v>
      </c>
      <c r="BB16" s="203">
        <v>18.442187036995257</v>
      </c>
      <c r="BC16" s="203">
        <v>19.608414406137165</v>
      </c>
      <c r="BD16" s="203">
        <v>20.761132942727137</v>
      </c>
      <c r="BE16" s="203">
        <v>21.899460904655218</v>
      </c>
      <c r="BF16" s="203">
        <v>23.022542242846956</v>
      </c>
      <c r="BG16" s="203">
        <v>24.129546601263407</v>
      </c>
      <c r="BH16" s="203">
        <v>25.21966931690115</v>
      </c>
      <c r="BI16" s="203">
        <v>26.292131419792256</v>
      </c>
      <c r="BJ16" s="203">
        <v>27.346179633004322</v>
      </c>
      <c r="BK16" s="203">
        <v>28.381086372640436</v>
      </c>
      <c r="BL16" s="203">
        <v>29.396149747839218</v>
      </c>
      <c r="BM16" s="203">
        <v>30.390693560774778</v>
      </c>
      <c r="BN16" s="203">
        <v>31.364067306656736</v>
      </c>
      <c r="BO16" s="203">
        <v>32.315646173730244</v>
      </c>
      <c r="BP16" s="203">
        <v>33.24483104327593</v>
      </c>
      <c r="BQ16" s="203">
        <v>34.151048489609984</v>
      </c>
      <c r="BR16" s="203">
        <v>35.03375078008402</v>
      </c>
      <c r="BS16" s="203">
        <v>35.892415875085263</v>
      </c>
      <c r="BT16" s="203">
        <v>36.726547428036369</v>
      </c>
      <c r="BU16" s="203">
        <v>37.535674785395521</v>
      </c>
      <c r="BV16" s="203">
        <v>38.319352986656455</v>
      </c>
      <c r="BW16" s="203">
        <v>39.077162764348365</v>
      </c>
      <c r="BX16" s="203">
        <v>39.808710544035975</v>
      </c>
      <c r="BY16" s="203">
        <v>40.513628444319529</v>
      </c>
    </row>
    <row r="17" spans="1:77" ht="16.2" thickBot="1" x14ac:dyDescent="0.4">
      <c r="A17" s="216" t="s">
        <v>79</v>
      </c>
      <c r="B17" s="217"/>
      <c r="C17" s="217"/>
      <c r="D17" s="217"/>
      <c r="E17" s="218"/>
      <c r="F17" s="191">
        <v>25</v>
      </c>
      <c r="K17" s="207" t="s">
        <v>81</v>
      </c>
      <c r="L17" s="210">
        <v>346819</v>
      </c>
      <c r="M17" s="210">
        <v>310615</v>
      </c>
      <c r="N17" s="210">
        <v>281386</v>
      </c>
      <c r="O17" s="210">
        <v>257313</v>
      </c>
      <c r="P17" s="210">
        <v>237161</v>
      </c>
      <c r="Q17" s="210">
        <v>220057</v>
      </c>
      <c r="R17" s="210">
        <v>205372</v>
      </c>
      <c r="S17" s="210">
        <v>192638</v>
      </c>
      <c r="T17" s="210">
        <v>181499</v>
      </c>
      <c r="U17" s="210">
        <v>171683</v>
      </c>
      <c r="V17" s="210">
        <v>162975</v>
      </c>
      <c r="W17" s="210">
        <v>155205</v>
      </c>
      <c r="X17" s="210">
        <v>148236</v>
      </c>
      <c r="Y17" s="210">
        <v>141956</v>
      </c>
      <c r="Z17" s="210">
        <v>136275</v>
      </c>
      <c r="AA17" s="210">
        <v>131115</v>
      </c>
      <c r="AB17" s="210">
        <v>126413</v>
      </c>
      <c r="AC17" s="210">
        <v>122116</v>
      </c>
      <c r="AD17" s="210">
        <v>118178</v>
      </c>
      <c r="AE17" s="210">
        <v>114561</v>
      </c>
      <c r="AF17" s="210">
        <v>111232</v>
      </c>
      <c r="AG17" s="210">
        <v>108160</v>
      </c>
      <c r="AH17" s="210">
        <v>105323</v>
      </c>
      <c r="AI17" s="210">
        <v>102697</v>
      </c>
      <c r="AJ17" s="210">
        <v>100264</v>
      </c>
      <c r="AK17" s="210">
        <v>98008</v>
      </c>
      <c r="AL17" s="210">
        <v>95912</v>
      </c>
      <c r="AM17" s="210">
        <v>93966</v>
      </c>
      <c r="AN17" s="210">
        <v>92156</v>
      </c>
      <c r="AO17" s="210">
        <v>90473</v>
      </c>
      <c r="AP17" s="210">
        <v>88907</v>
      </c>
      <c r="AQ17" s="211">
        <v>87450</v>
      </c>
      <c r="AS17" s="203" t="s">
        <v>329</v>
      </c>
      <c r="AT17" s="203">
        <v>8.1169482224196852</v>
      </c>
      <c r="AU17" s="203">
        <v>9.3573337642111625</v>
      </c>
      <c r="AV17" s="203">
        <v>10.592376997266605</v>
      </c>
      <c r="AW17" s="203">
        <v>11.820987423562539</v>
      </c>
      <c r="AX17" s="203">
        <v>13.042100238110999</v>
      </c>
      <c r="AY17" s="203">
        <v>14.254676328959533</v>
      </c>
      <c r="AZ17" s="203">
        <v>15.457702277191192</v>
      </c>
      <c r="BA17" s="203">
        <v>16.650190356924544</v>
      </c>
      <c r="BB17" s="203">
        <v>17.831178535313654</v>
      </c>
      <c r="BC17" s="203">
        <v>18.999730472548116</v>
      </c>
      <c r="BD17" s="203">
        <v>20.154935521853012</v>
      </c>
      <c r="BE17" s="203">
        <v>21.295908729488957</v>
      </c>
      <c r="BF17" s="203">
        <v>22.421790834752056</v>
      </c>
      <c r="BG17" s="203">
        <v>23.531748269973924</v>
      </c>
      <c r="BH17" s="203">
        <v>24.624973160521705</v>
      </c>
      <c r="BI17" s="203">
        <v>25.700683324798025</v>
      </c>
      <c r="BJ17" s="203">
        <v>26.75812227424105</v>
      </c>
      <c r="BK17" s="203">
        <v>27.796559213324429</v>
      </c>
      <c r="BL17" s="203">
        <v>28.815289039557332</v>
      </c>
      <c r="BM17" s="203">
        <v>29.813632343484439</v>
      </c>
      <c r="BN17" s="203">
        <v>30.790935408685939</v>
      </c>
      <c r="BO17" s="203">
        <v>31.746570211777527</v>
      </c>
      <c r="BP17" s="203">
        <v>32.679934422410412</v>
      </c>
      <c r="BQ17" s="203">
        <v>33.590451403271331</v>
      </c>
      <c r="BR17" s="203">
        <v>34.477570210082476</v>
      </c>
      <c r="BS17" s="203">
        <v>35.340765591601595</v>
      </c>
      <c r="BT17" s="203">
        <v>36.179537989621949</v>
      </c>
      <c r="BU17" s="203">
        <v>36.993413538972263</v>
      </c>
      <c r="BV17" s="203">
        <v>37.781944067516832</v>
      </c>
      <c r="BW17" s="203">
        <v>38.544707096155427</v>
      </c>
      <c r="BX17" s="203">
        <v>39.281305838823315</v>
      </c>
      <c r="BY17" s="203">
        <v>39.991369202491299</v>
      </c>
    </row>
    <row r="18" spans="1:77" ht="15.6" thickTop="1" thickBot="1" x14ac:dyDescent="0.35">
      <c r="A18" s="216" t="s">
        <v>80</v>
      </c>
      <c r="B18" s="217"/>
      <c r="C18" s="217"/>
      <c r="D18" s="217"/>
      <c r="E18" s="218"/>
      <c r="F18" s="189">
        <v>25</v>
      </c>
      <c r="AS18" s="203" t="s">
        <v>341</v>
      </c>
      <c r="AT18" s="203">
        <v>7.4935585779357474</v>
      </c>
      <c r="AU18" s="203">
        <v>8.7348575121809962</v>
      </c>
      <c r="AV18" s="203">
        <v>9.9710017753480926</v>
      </c>
      <c r="AW18" s="203">
        <v>11.200897657784125</v>
      </c>
      <c r="AX18" s="203">
        <v>12.42347714287169</v>
      </c>
      <c r="AY18" s="203">
        <v>13.637697907028898</v>
      </c>
      <c r="AZ18" s="203">
        <v>14.842543319709357</v>
      </c>
      <c r="BA18" s="203">
        <v>16.037022443402201</v>
      </c>
      <c r="BB18" s="203">
        <v>17.220170033632051</v>
      </c>
      <c r="BC18" s="203">
        <v>18.391046538959067</v>
      </c>
      <c r="BD18" s="203">
        <v>19.548738100978895</v>
      </c>
      <c r="BE18" s="203">
        <v>20.692356554322703</v>
      </c>
      <c r="BF18" s="203">
        <v>21.821039426657158</v>
      </c>
      <c r="BG18" s="203">
        <v>22.933949938684446</v>
      </c>
      <c r="BH18" s="203">
        <v>24.03027700414226</v>
      </c>
      <c r="BI18" s="203">
        <v>25.109235229803797</v>
      </c>
      <c r="BJ18" s="203">
        <v>26.170064915477781</v>
      </c>
      <c r="BK18" s="203">
        <v>27.212032054008418</v>
      </c>
      <c r="BL18" s="203">
        <v>28.234428331275449</v>
      </c>
      <c r="BM18" s="203">
        <v>29.236571126194104</v>
      </c>
      <c r="BN18" s="203">
        <v>30.217803510715143</v>
      </c>
      <c r="BO18" s="203">
        <v>31.177494249824818</v>
      </c>
      <c r="BP18" s="203">
        <v>32.115037801544901</v>
      </c>
      <c r="BQ18" s="203">
        <v>33.029854316932671</v>
      </c>
      <c r="BR18" s="203">
        <v>33.921389640080918</v>
      </c>
      <c r="BS18" s="203">
        <v>34.789115308117935</v>
      </c>
      <c r="BT18" s="203">
        <v>35.632528551207528</v>
      </c>
      <c r="BU18" s="203">
        <v>36.451152292549011</v>
      </c>
      <c r="BV18" s="203">
        <v>37.244535148377217</v>
      </c>
      <c r="BW18" s="203">
        <v>38.012251427962489</v>
      </c>
      <c r="BX18" s="203">
        <v>38.753901133610647</v>
      </c>
      <c r="BY18" s="203">
        <v>39.469109960663069</v>
      </c>
    </row>
    <row r="19" spans="1:77" ht="15" thickTop="1" x14ac:dyDescent="0.3">
      <c r="A19" s="216" t="s">
        <v>66</v>
      </c>
      <c r="B19" s="217"/>
      <c r="C19" s="217"/>
      <c r="D19" s="217"/>
      <c r="E19" s="218"/>
      <c r="F19" s="189">
        <v>1</v>
      </c>
      <c r="K19" s="205" t="s">
        <v>318</v>
      </c>
      <c r="L19" s="204"/>
      <c r="M19" s="204"/>
      <c r="N19" s="204"/>
      <c r="O19" s="204"/>
      <c r="P19" s="204"/>
      <c r="Q19" s="204"/>
      <c r="R19" s="204"/>
      <c r="S19" s="204"/>
      <c r="T19" s="204"/>
      <c r="U19" s="204"/>
      <c r="V19" s="204"/>
      <c r="W19" s="204"/>
      <c r="X19" s="204"/>
      <c r="Y19" s="204"/>
      <c r="Z19" s="204"/>
      <c r="AA19" s="204"/>
      <c r="AB19" s="204"/>
      <c r="AC19" s="204"/>
      <c r="AD19" s="204"/>
      <c r="AE19" s="204"/>
      <c r="AF19" s="204"/>
      <c r="AG19" s="204"/>
      <c r="AH19" s="204"/>
      <c r="AI19" s="204"/>
      <c r="AJ19" s="204"/>
      <c r="AK19" s="204"/>
      <c r="AL19" s="204"/>
      <c r="AM19" s="204"/>
      <c r="AN19" s="204"/>
      <c r="AO19" s="204"/>
      <c r="AP19" s="204"/>
      <c r="AQ19" s="208"/>
      <c r="AS19" s="203" t="s">
        <v>342</v>
      </c>
      <c r="AT19" s="203">
        <v>6.8701689334518115</v>
      </c>
      <c r="AU19" s="203">
        <v>8.1123812601508298</v>
      </c>
      <c r="AV19" s="203">
        <v>9.3496265534295802</v>
      </c>
      <c r="AW19" s="203">
        <v>10.580807892005712</v>
      </c>
      <c r="AX19" s="203">
        <v>11.804854047632384</v>
      </c>
      <c r="AY19" s="203">
        <v>13.020719485098262</v>
      </c>
      <c r="AZ19" s="203">
        <v>14.227384362227523</v>
      </c>
      <c r="BA19" s="203">
        <v>15.423854529879854</v>
      </c>
      <c r="BB19" s="203">
        <v>16.609161531950448</v>
      </c>
      <c r="BC19" s="203">
        <v>17.782362605370018</v>
      </c>
      <c r="BD19" s="203">
        <v>18.942540680104777</v>
      </c>
      <c r="BE19" s="203">
        <v>20.088804379156443</v>
      </c>
      <c r="BF19" s="203">
        <v>21.220288018562261</v>
      </c>
      <c r="BG19" s="203">
        <v>22.336151607394964</v>
      </c>
      <c r="BH19" s="203">
        <v>23.435580847762814</v>
      </c>
      <c r="BI19" s="203">
        <v>24.51778713480957</v>
      </c>
      <c r="BJ19" s="203">
        <v>25.582007556714508</v>
      </c>
      <c r="BK19" s="203">
        <v>26.627504894692407</v>
      </c>
      <c r="BL19" s="203">
        <v>27.653567622993563</v>
      </c>
      <c r="BM19" s="203">
        <v>28.659509908903765</v>
      </c>
      <c r="BN19" s="203">
        <v>29.644671612744343</v>
      </c>
      <c r="BO19" s="203">
        <v>30.608418287872102</v>
      </c>
      <c r="BP19" s="203">
        <v>31.550141180679375</v>
      </c>
      <c r="BQ19" s="203">
        <v>32.469257230594017</v>
      </c>
      <c r="BR19" s="203">
        <v>33.365209070079359</v>
      </c>
      <c r="BS19" s="203">
        <v>34.237465024634261</v>
      </c>
      <c r="BT19" s="203">
        <v>35.085519112793101</v>
      </c>
      <c r="BU19" s="203">
        <v>35.908891046125746</v>
      </c>
      <c r="BV19" s="203">
        <v>36.707126229237588</v>
      </c>
      <c r="BW19" s="203">
        <v>37.479795759769537</v>
      </c>
      <c r="BX19" s="203">
        <v>38.226496428397979</v>
      </c>
      <c r="BY19" s="203">
        <v>38.946850718834838</v>
      </c>
    </row>
    <row r="20" spans="1:77" ht="15" customHeight="1" x14ac:dyDescent="0.3">
      <c r="K20" s="206" t="s">
        <v>323</v>
      </c>
      <c r="L20" s="203">
        <v>1.2</v>
      </c>
      <c r="M20" s="203">
        <v>1.4</v>
      </c>
      <c r="N20" s="203">
        <v>1.6</v>
      </c>
      <c r="O20" s="203">
        <v>1.8</v>
      </c>
      <c r="P20" s="203">
        <v>2</v>
      </c>
      <c r="Q20" s="203">
        <v>2.2000000000000002</v>
      </c>
      <c r="R20" s="203">
        <v>2.4000000000000004</v>
      </c>
      <c r="S20" s="203">
        <v>2.6</v>
      </c>
      <c r="T20" s="203">
        <v>2.8</v>
      </c>
      <c r="U20" s="203">
        <v>3</v>
      </c>
      <c r="V20" s="203">
        <v>3.2</v>
      </c>
      <c r="W20" s="203">
        <v>3.4000000000000004</v>
      </c>
      <c r="X20" s="203">
        <v>3.6000000000000005</v>
      </c>
      <c r="Y20" s="203">
        <v>3.8</v>
      </c>
      <c r="Z20" s="203">
        <v>4</v>
      </c>
      <c r="AA20" s="203">
        <v>4.2</v>
      </c>
      <c r="AB20" s="203">
        <v>4.4000000000000004</v>
      </c>
      <c r="AC20" s="203">
        <v>4.6000000000000005</v>
      </c>
      <c r="AD20" s="203">
        <v>4.8</v>
      </c>
      <c r="AE20" s="203">
        <v>5</v>
      </c>
      <c r="AF20" s="203">
        <v>5.2</v>
      </c>
      <c r="AG20" s="203">
        <v>5.4</v>
      </c>
      <c r="AH20" s="203">
        <v>5.6000000000000005</v>
      </c>
      <c r="AI20" s="203">
        <v>5.8000000000000007</v>
      </c>
      <c r="AJ20" s="203">
        <v>6.0000000000000009</v>
      </c>
      <c r="AK20" s="203">
        <v>6.2</v>
      </c>
      <c r="AL20" s="203">
        <v>6.4</v>
      </c>
      <c r="AM20" s="203">
        <v>6.6000000000000005</v>
      </c>
      <c r="AN20" s="203">
        <v>6.8000000000000007</v>
      </c>
      <c r="AO20" s="203">
        <v>7.0000000000000009</v>
      </c>
      <c r="AP20" s="203">
        <v>7.2</v>
      </c>
      <c r="AQ20" s="209">
        <v>7.4</v>
      </c>
      <c r="AS20" s="203" t="s">
        <v>343</v>
      </c>
      <c r="AT20" s="203">
        <v>6.2467792889678737</v>
      </c>
      <c r="AU20" s="203">
        <v>7.4899050081206635</v>
      </c>
      <c r="AV20" s="203">
        <v>8.7282513315110695</v>
      </c>
      <c r="AW20" s="203">
        <v>9.9607181262273006</v>
      </c>
      <c r="AX20" s="203">
        <v>11.186230952393075</v>
      </c>
      <c r="AY20" s="203">
        <v>12.403741063167626</v>
      </c>
      <c r="AZ20" s="203">
        <v>13.612225404745688</v>
      </c>
      <c r="BA20" s="203">
        <v>14.810686616357509</v>
      </c>
      <c r="BB20" s="203">
        <v>15.998153030268845</v>
      </c>
      <c r="BC20" s="203">
        <v>17.173678671780969</v>
      </c>
      <c r="BD20" s="203">
        <v>18.336343259230652</v>
      </c>
      <c r="BE20" s="203">
        <v>19.485252203990186</v>
      </c>
      <c r="BF20" s="203">
        <v>20.619536610467364</v>
      </c>
      <c r="BG20" s="203">
        <v>21.738353276105482</v>
      </c>
      <c r="BH20" s="203">
        <v>22.840884691383369</v>
      </c>
      <c r="BI20" s="203">
        <v>23.926339039815339</v>
      </c>
      <c r="BJ20" s="203">
        <v>24.993950197951236</v>
      </c>
      <c r="BK20" s="203">
        <v>26.042977735376397</v>
      </c>
      <c r="BL20" s="203">
        <v>27.072706914711677</v>
      </c>
      <c r="BM20" s="203">
        <v>28.082448691613433</v>
      </c>
      <c r="BN20" s="203">
        <v>29.071539714773547</v>
      </c>
      <c r="BO20" s="203">
        <v>30.039342325919389</v>
      </c>
      <c r="BP20" s="203">
        <v>30.985244559813861</v>
      </c>
      <c r="BQ20" s="203">
        <v>31.908660144255368</v>
      </c>
      <c r="BR20" s="203">
        <v>32.809028500077801</v>
      </c>
      <c r="BS20" s="203">
        <v>33.685814741150601</v>
      </c>
      <c r="BT20" s="203">
        <v>34.538509674378687</v>
      </c>
      <c r="BU20" s="203">
        <v>35.366629799702487</v>
      </c>
      <c r="BV20" s="203">
        <v>36.169717310097973</v>
      </c>
      <c r="BW20" s="203">
        <v>36.947340091576599</v>
      </c>
      <c r="BX20" s="203">
        <v>37.699091723185312</v>
      </c>
      <c r="BY20" s="203">
        <v>38.424591477006615</v>
      </c>
    </row>
    <row r="21" spans="1:77" ht="15" thickBot="1" x14ac:dyDescent="0.35">
      <c r="K21" s="207" t="s">
        <v>81</v>
      </c>
      <c r="L21" s="210">
        <v>366878</v>
      </c>
      <c r="M21" s="210">
        <v>326426</v>
      </c>
      <c r="N21" s="210">
        <v>294148</v>
      </c>
      <c r="O21" s="210">
        <v>267816</v>
      </c>
      <c r="P21" s="210">
        <v>245943</v>
      </c>
      <c r="Q21" s="210">
        <v>227502</v>
      </c>
      <c r="R21" s="210">
        <v>211756</v>
      </c>
      <c r="S21" s="210">
        <v>198168</v>
      </c>
      <c r="T21" s="210">
        <v>186331</v>
      </c>
      <c r="U21" s="210">
        <v>175939</v>
      </c>
      <c r="V21" s="210">
        <v>166749</v>
      </c>
      <c r="W21" s="210">
        <v>158572</v>
      </c>
      <c r="X21" s="210">
        <v>151257</v>
      </c>
      <c r="Y21" s="210">
        <v>144681</v>
      </c>
      <c r="Z21" s="210">
        <v>138742</v>
      </c>
      <c r="AA21" s="210">
        <v>133360</v>
      </c>
      <c r="AB21" s="210">
        <v>128463</v>
      </c>
      <c r="AC21" s="210">
        <v>123995</v>
      </c>
      <c r="AD21" s="210">
        <v>119906</v>
      </c>
      <c r="AE21" s="210">
        <v>116154</v>
      </c>
      <c r="AF21" s="210">
        <v>112704</v>
      </c>
      <c r="AG21" s="210">
        <v>109526</v>
      </c>
      <c r="AH21" s="210">
        <v>106592</v>
      </c>
      <c r="AI21" s="210">
        <v>103879</v>
      </c>
      <c r="AJ21" s="210">
        <v>101368</v>
      </c>
      <c r="AK21" s="210">
        <v>99040</v>
      </c>
      <c r="AL21" s="210">
        <v>96880</v>
      </c>
      <c r="AM21" s="210">
        <v>94874</v>
      </c>
      <c r="AN21" s="210">
        <v>93010</v>
      </c>
      <c r="AO21" s="210">
        <v>91277</v>
      </c>
      <c r="AP21" s="210">
        <v>89666</v>
      </c>
      <c r="AQ21" s="211">
        <v>88167</v>
      </c>
      <c r="AS21" s="203" t="s">
        <v>344</v>
      </c>
      <c r="AT21" s="203">
        <v>5.623389644483936</v>
      </c>
      <c r="AU21" s="203">
        <v>6.8674287560904972</v>
      </c>
      <c r="AV21" s="203">
        <v>8.1068761095925588</v>
      </c>
      <c r="AW21" s="203">
        <v>9.3406283604488873</v>
      </c>
      <c r="AX21" s="203">
        <v>10.567607857153767</v>
      </c>
      <c r="AY21" s="203">
        <v>11.78676264123699</v>
      </c>
      <c r="AZ21" s="203">
        <v>12.997066447263853</v>
      </c>
      <c r="BA21" s="203">
        <v>14.197518702835165</v>
      </c>
      <c r="BB21" s="203">
        <v>15.387144528587243</v>
      </c>
      <c r="BC21" s="203">
        <v>16.56499473819192</v>
      </c>
      <c r="BD21" s="203">
        <v>17.730145838356535</v>
      </c>
      <c r="BE21" s="203">
        <v>18.881700028823929</v>
      </c>
      <c r="BF21" s="203">
        <v>20.018785202372463</v>
      </c>
      <c r="BG21" s="203">
        <v>21.140554944816</v>
      </c>
      <c r="BH21" s="203">
        <v>22.246188535003924</v>
      </c>
      <c r="BI21" s="203">
        <v>23.334890944821108</v>
      </c>
      <c r="BJ21" s="203">
        <v>24.405892839187963</v>
      </c>
      <c r="BK21" s="203">
        <v>25.458450576060383</v>
      </c>
      <c r="BL21" s="203">
        <v>26.491846206429788</v>
      </c>
      <c r="BM21" s="203">
        <v>27.505387474323097</v>
      </c>
      <c r="BN21" s="203">
        <v>28.498407816802743</v>
      </c>
      <c r="BO21" s="203">
        <v>29.47026636396668</v>
      </c>
      <c r="BP21" s="203">
        <v>30.420347938948339</v>
      </c>
      <c r="BQ21" s="203">
        <v>31.348063057916715</v>
      </c>
      <c r="BR21" s="203">
        <v>32.252847930076243</v>
      </c>
      <c r="BS21" s="203">
        <v>33.134164457666934</v>
      </c>
      <c r="BT21" s="203">
        <v>33.991500235964267</v>
      </c>
      <c r="BU21" s="203">
        <v>34.824368553279228</v>
      </c>
      <c r="BV21" s="203">
        <v>35.632308390958357</v>
      </c>
      <c r="BW21" s="203">
        <v>36.414884423383654</v>
      </c>
      <c r="BX21" s="203">
        <v>37.171687017972644</v>
      </c>
      <c r="BY21" s="203">
        <v>37.902332235178385</v>
      </c>
    </row>
    <row r="22" spans="1:77" ht="15.6" thickTop="1" thickBot="1" x14ac:dyDescent="0.35">
      <c r="AS22" s="203" t="s">
        <v>345</v>
      </c>
      <c r="AT22" s="203">
        <v>5</v>
      </c>
      <c r="AU22" s="203">
        <v>6.2449525040603318</v>
      </c>
      <c r="AV22" s="203">
        <v>7.4855008876740472</v>
      </c>
      <c r="AW22" s="203">
        <v>8.7205385946704759</v>
      </c>
      <c r="AX22" s="203">
        <v>9.9489847619144598</v>
      </c>
      <c r="AY22" s="203">
        <v>11.169784219306356</v>
      </c>
      <c r="AZ22" s="203">
        <v>12.381907489782019</v>
      </c>
      <c r="BA22" s="203">
        <v>13.584350789312822</v>
      </c>
      <c r="BB22" s="203">
        <v>14.77613602690564</v>
      </c>
      <c r="BC22" s="203">
        <v>15.956310804602873</v>
      </c>
      <c r="BD22" s="203">
        <v>17.12394841748241</v>
      </c>
      <c r="BE22" s="203">
        <v>18.278147853657671</v>
      </c>
      <c r="BF22" s="203">
        <v>19.418033794277562</v>
      </c>
      <c r="BG22" s="203">
        <v>20.542756613526517</v>
      </c>
      <c r="BH22" s="203">
        <v>21.651492378624479</v>
      </c>
      <c r="BI22" s="203">
        <v>22.743442849826877</v>
      </c>
      <c r="BJ22" s="203">
        <v>23.817835480424691</v>
      </c>
      <c r="BK22" s="203">
        <v>24.873923416744372</v>
      </c>
      <c r="BL22" s="203">
        <v>25.910985498147902</v>
      </c>
      <c r="BM22" s="203">
        <v>26.928326257032762</v>
      </c>
      <c r="BN22" s="203">
        <v>27.925275918831947</v>
      </c>
      <c r="BO22" s="203">
        <v>28.901190402013963</v>
      </c>
      <c r="BP22" s="203">
        <v>29.855451318082821</v>
      </c>
      <c r="BQ22" s="203">
        <v>30.787465971578058</v>
      </c>
      <c r="BR22" s="203">
        <v>31.696667360074692</v>
      </c>
      <c r="BS22" s="203">
        <v>32.582514174183274</v>
      </c>
      <c r="BT22" s="203">
        <v>33.444490797549847</v>
      </c>
      <c r="BU22" s="203">
        <v>34.28210730685597</v>
      </c>
      <c r="BV22" s="203">
        <v>35.094899471818735</v>
      </c>
      <c r="BW22" s="203">
        <v>35.882428755190716</v>
      </c>
      <c r="BX22" s="203">
        <v>36.644282312759984</v>
      </c>
      <c r="BY22" s="203">
        <v>37.380072993350154</v>
      </c>
    </row>
    <row r="23" spans="1:77" ht="15" thickTop="1" x14ac:dyDescent="0.3">
      <c r="K23" s="205" t="s">
        <v>318</v>
      </c>
      <c r="L23" s="204"/>
      <c r="M23" s="204"/>
      <c r="N23" s="204"/>
      <c r="O23" s="204"/>
      <c r="P23" s="204"/>
      <c r="Q23" s="204"/>
      <c r="R23" s="204"/>
      <c r="S23" s="204"/>
      <c r="T23" s="204"/>
      <c r="U23" s="204"/>
      <c r="V23" s="204"/>
      <c r="W23" s="204"/>
      <c r="X23" s="204"/>
      <c r="Y23" s="204"/>
      <c r="Z23" s="204"/>
      <c r="AA23" s="204"/>
      <c r="AB23" s="204"/>
      <c r="AC23" s="204"/>
      <c r="AD23" s="204"/>
      <c r="AE23" s="204"/>
      <c r="AF23" s="204"/>
      <c r="AG23" s="204"/>
      <c r="AH23" s="204"/>
      <c r="AI23" s="204"/>
      <c r="AJ23" s="204"/>
      <c r="AK23" s="204"/>
      <c r="AL23" s="204"/>
      <c r="AM23" s="204"/>
      <c r="AN23" s="204"/>
      <c r="AO23" s="204"/>
      <c r="AP23" s="204"/>
      <c r="AQ23" s="208"/>
    </row>
    <row r="24" spans="1:77" x14ac:dyDescent="0.3">
      <c r="K24" s="206" t="s">
        <v>323</v>
      </c>
      <c r="L24" s="203">
        <v>1.2</v>
      </c>
      <c r="M24" s="203">
        <v>1.4</v>
      </c>
      <c r="N24" s="203">
        <v>1.6</v>
      </c>
      <c r="O24" s="203">
        <v>1.8</v>
      </c>
      <c r="P24" s="203">
        <v>2</v>
      </c>
      <c r="Q24" s="203">
        <v>2.2000000000000002</v>
      </c>
      <c r="R24" s="203">
        <v>2.4000000000000004</v>
      </c>
      <c r="S24" s="203">
        <v>2.6</v>
      </c>
      <c r="T24" s="203">
        <v>2.8</v>
      </c>
      <c r="U24" s="203">
        <v>3</v>
      </c>
      <c r="V24" s="203">
        <v>3.2</v>
      </c>
      <c r="W24" s="203">
        <v>3.4000000000000004</v>
      </c>
      <c r="X24" s="203">
        <v>3.6000000000000005</v>
      </c>
      <c r="Y24" s="203">
        <v>3.8</v>
      </c>
      <c r="Z24" s="203">
        <v>4</v>
      </c>
      <c r="AA24" s="203">
        <v>4.2</v>
      </c>
      <c r="AB24" s="203">
        <v>4.4000000000000004</v>
      </c>
      <c r="AC24" s="203">
        <v>4.6000000000000005</v>
      </c>
      <c r="AD24" s="203">
        <v>4.8</v>
      </c>
      <c r="AE24" s="203">
        <v>5</v>
      </c>
      <c r="AF24" s="203">
        <v>5.2</v>
      </c>
      <c r="AG24" s="203">
        <v>5.4</v>
      </c>
      <c r="AH24" s="203">
        <v>5.6000000000000005</v>
      </c>
      <c r="AI24" s="203">
        <v>5.8000000000000007</v>
      </c>
      <c r="AJ24" s="203">
        <v>6.0000000000000009</v>
      </c>
      <c r="AK24" s="203">
        <v>6.2</v>
      </c>
      <c r="AL24" s="203">
        <v>6.4</v>
      </c>
      <c r="AM24" s="203">
        <v>6.6000000000000005</v>
      </c>
      <c r="AN24" s="203">
        <v>6.8000000000000007</v>
      </c>
      <c r="AO24" s="203">
        <v>7.0000000000000009</v>
      </c>
      <c r="AP24" s="203">
        <v>7.2</v>
      </c>
      <c r="AQ24" s="209">
        <v>7.4</v>
      </c>
    </row>
    <row r="25" spans="1:77" ht="15" thickBot="1" x14ac:dyDescent="0.35">
      <c r="K25" s="207" t="s">
        <v>81</v>
      </c>
      <c r="L25" s="210">
        <v>389596</v>
      </c>
      <c r="M25" s="210">
        <v>344084</v>
      </c>
      <c r="N25" s="210">
        <v>308241</v>
      </c>
      <c r="O25" s="210">
        <v>279307</v>
      </c>
      <c r="P25" s="210">
        <v>255479</v>
      </c>
      <c r="Q25" s="210">
        <v>235532</v>
      </c>
      <c r="R25" s="210">
        <v>218604</v>
      </c>
      <c r="S25" s="210">
        <v>204071</v>
      </c>
      <c r="T25" s="210">
        <v>191468</v>
      </c>
      <c r="U25" s="210">
        <v>180445</v>
      </c>
      <c r="V25" s="210">
        <v>170731</v>
      </c>
      <c r="W25" s="210">
        <v>162115</v>
      </c>
      <c r="X25" s="210">
        <v>154427</v>
      </c>
      <c r="Y25" s="210">
        <v>147532</v>
      </c>
      <c r="Z25" s="210">
        <v>141320</v>
      </c>
      <c r="AA25" s="210">
        <v>135699</v>
      </c>
      <c r="AB25" s="210">
        <v>130595</v>
      </c>
      <c r="AC25" s="210">
        <v>125945</v>
      </c>
      <c r="AD25" s="210">
        <v>121696</v>
      </c>
      <c r="AE25" s="210">
        <v>117802</v>
      </c>
      <c r="AF25" s="210">
        <v>114226</v>
      </c>
      <c r="AG25" s="210">
        <v>110935</v>
      </c>
      <c r="AH25" s="210">
        <v>107900</v>
      </c>
      <c r="AI25" s="210">
        <v>105097</v>
      </c>
      <c r="AJ25" s="210">
        <v>102503</v>
      </c>
      <c r="AK25" s="210">
        <v>100101</v>
      </c>
      <c r="AL25" s="210">
        <v>97873</v>
      </c>
      <c r="AM25" s="210">
        <v>95805</v>
      </c>
      <c r="AN25" s="210">
        <v>93885</v>
      </c>
      <c r="AO25" s="210">
        <v>92101</v>
      </c>
      <c r="AP25" s="210">
        <v>90442</v>
      </c>
      <c r="AQ25" s="211">
        <v>88900</v>
      </c>
    </row>
    <row r="26" spans="1:77" ht="15.6" thickTop="1" thickBot="1" x14ac:dyDescent="0.35"/>
    <row r="27" spans="1:77" ht="15" thickTop="1" x14ac:dyDescent="0.3">
      <c r="K27" s="205" t="s">
        <v>318</v>
      </c>
      <c r="L27" s="204"/>
      <c r="M27" s="204"/>
      <c r="N27" s="204"/>
      <c r="O27" s="204"/>
      <c r="P27" s="204"/>
      <c r="Q27" s="204"/>
      <c r="R27" s="204"/>
      <c r="S27" s="204"/>
      <c r="T27" s="204"/>
      <c r="U27" s="204"/>
      <c r="V27" s="204"/>
      <c r="W27" s="204"/>
      <c r="X27" s="204"/>
      <c r="Y27" s="204"/>
      <c r="Z27" s="204"/>
      <c r="AA27" s="204"/>
      <c r="AB27" s="204"/>
      <c r="AC27" s="204"/>
      <c r="AD27" s="204"/>
      <c r="AE27" s="204"/>
      <c r="AF27" s="204"/>
      <c r="AG27" s="204"/>
      <c r="AH27" s="204"/>
      <c r="AI27" s="204"/>
      <c r="AJ27" s="204"/>
      <c r="AK27" s="204"/>
      <c r="AL27" s="204"/>
      <c r="AM27" s="204"/>
      <c r="AN27" s="204"/>
      <c r="AO27" s="204"/>
      <c r="AP27" s="204"/>
      <c r="AQ27" s="208"/>
    </row>
    <row r="28" spans="1:77" x14ac:dyDescent="0.3">
      <c r="K28" s="206" t="s">
        <v>323</v>
      </c>
      <c r="L28" s="203">
        <v>1.2</v>
      </c>
      <c r="M28" s="203">
        <v>1.4</v>
      </c>
      <c r="N28" s="203">
        <v>1.6</v>
      </c>
      <c r="O28" s="203">
        <v>1.8</v>
      </c>
      <c r="P28" s="203">
        <v>2</v>
      </c>
      <c r="Q28" s="203">
        <v>2.2000000000000002</v>
      </c>
      <c r="R28" s="203">
        <v>2.4000000000000004</v>
      </c>
      <c r="S28" s="203">
        <v>2.6</v>
      </c>
      <c r="T28" s="203">
        <v>2.8</v>
      </c>
      <c r="U28" s="203">
        <v>3</v>
      </c>
      <c r="V28" s="203">
        <v>3.2</v>
      </c>
      <c r="W28" s="203">
        <v>3.4000000000000004</v>
      </c>
      <c r="X28" s="203">
        <v>3.6000000000000005</v>
      </c>
      <c r="Y28" s="203">
        <v>3.8</v>
      </c>
      <c r="Z28" s="203">
        <v>4</v>
      </c>
      <c r="AA28" s="203">
        <v>4.2</v>
      </c>
      <c r="AB28" s="203">
        <v>4.4000000000000004</v>
      </c>
      <c r="AC28" s="203">
        <v>4.6000000000000005</v>
      </c>
      <c r="AD28" s="203">
        <v>4.8</v>
      </c>
      <c r="AE28" s="203">
        <v>5</v>
      </c>
      <c r="AF28" s="203">
        <v>5.2</v>
      </c>
      <c r="AG28" s="203">
        <v>5.4</v>
      </c>
      <c r="AH28" s="203">
        <v>5.6000000000000005</v>
      </c>
      <c r="AI28" s="203">
        <v>5.8000000000000007</v>
      </c>
      <c r="AJ28" s="203">
        <v>6.0000000000000009</v>
      </c>
      <c r="AK28" s="203">
        <v>6.2</v>
      </c>
      <c r="AL28" s="203">
        <v>6.4</v>
      </c>
      <c r="AM28" s="203">
        <v>6.6000000000000005</v>
      </c>
      <c r="AN28" s="203">
        <v>6.8000000000000007</v>
      </c>
      <c r="AO28" s="203">
        <v>7.0000000000000009</v>
      </c>
      <c r="AP28" s="203">
        <v>7.2</v>
      </c>
      <c r="AQ28" s="209">
        <v>7.4</v>
      </c>
    </row>
    <row r="29" spans="1:77" ht="15" thickBot="1" x14ac:dyDescent="0.35">
      <c r="K29" s="207" t="s">
        <v>81</v>
      </c>
      <c r="L29" s="210">
        <v>415543</v>
      </c>
      <c r="M29" s="210">
        <v>363934</v>
      </c>
      <c r="N29" s="210">
        <v>323887</v>
      </c>
      <c r="O29" s="210">
        <v>291935</v>
      </c>
      <c r="P29" s="210">
        <v>265871</v>
      </c>
      <c r="Q29" s="210">
        <v>244222</v>
      </c>
      <c r="R29" s="210">
        <v>225970</v>
      </c>
      <c r="S29" s="210">
        <v>210387</v>
      </c>
      <c r="T29" s="210">
        <v>196939</v>
      </c>
      <c r="U29" s="210">
        <v>185226</v>
      </c>
      <c r="V29" s="210">
        <v>174942</v>
      </c>
      <c r="W29" s="210">
        <v>165848</v>
      </c>
      <c r="X29" s="210">
        <v>157758</v>
      </c>
      <c r="Y29" s="210">
        <v>150520</v>
      </c>
      <c r="Z29" s="210">
        <v>144014</v>
      </c>
      <c r="AA29" s="210">
        <v>138140</v>
      </c>
      <c r="AB29" s="210">
        <v>132815</v>
      </c>
      <c r="AC29" s="210">
        <v>127972</v>
      </c>
      <c r="AD29" s="210">
        <v>123553</v>
      </c>
      <c r="AE29" s="210">
        <v>119510</v>
      </c>
      <c r="AF29" s="210">
        <v>115801</v>
      </c>
      <c r="AG29" s="210">
        <v>112391</v>
      </c>
      <c r="AH29" s="210">
        <v>109250</v>
      </c>
      <c r="AI29" s="210">
        <v>106351</v>
      </c>
      <c r="AJ29" s="210">
        <v>103671</v>
      </c>
      <c r="AK29" s="210">
        <v>101191</v>
      </c>
      <c r="AL29" s="210">
        <v>98893</v>
      </c>
      <c r="AM29" s="210">
        <v>96761</v>
      </c>
      <c r="AN29" s="210">
        <v>94782</v>
      </c>
      <c r="AO29" s="210">
        <v>92944</v>
      </c>
      <c r="AP29" s="210">
        <v>91236</v>
      </c>
      <c r="AQ29" s="211">
        <v>89649</v>
      </c>
    </row>
    <row r="30" spans="1:77" ht="15.6" thickTop="1" thickBot="1" x14ac:dyDescent="0.35"/>
    <row r="31" spans="1:77" ht="15" thickTop="1" x14ac:dyDescent="0.3">
      <c r="K31" s="205" t="s">
        <v>318</v>
      </c>
      <c r="L31" s="204"/>
      <c r="M31" s="204"/>
      <c r="N31" s="204"/>
      <c r="O31" s="204"/>
      <c r="P31" s="204"/>
      <c r="Q31" s="204"/>
      <c r="R31" s="204"/>
      <c r="S31" s="204"/>
      <c r="T31" s="204"/>
      <c r="U31" s="204"/>
      <c r="V31" s="204"/>
      <c r="W31" s="204"/>
      <c r="X31" s="204"/>
      <c r="Y31" s="204"/>
      <c r="Z31" s="204"/>
      <c r="AA31" s="204"/>
      <c r="AB31" s="204"/>
      <c r="AC31" s="204"/>
      <c r="AD31" s="204"/>
      <c r="AE31" s="204"/>
      <c r="AF31" s="204"/>
      <c r="AG31" s="204"/>
      <c r="AH31" s="204"/>
      <c r="AI31" s="204"/>
      <c r="AJ31" s="204"/>
      <c r="AK31" s="204"/>
      <c r="AL31" s="204"/>
      <c r="AM31" s="204"/>
      <c r="AN31" s="204"/>
      <c r="AO31" s="204"/>
      <c r="AP31" s="204"/>
      <c r="AQ31" s="208"/>
    </row>
    <row r="32" spans="1:77" x14ac:dyDescent="0.3">
      <c r="K32" s="206" t="s">
        <v>323</v>
      </c>
      <c r="L32" s="203">
        <v>1.2</v>
      </c>
      <c r="M32" s="203">
        <v>1.4</v>
      </c>
      <c r="N32" s="203">
        <v>1.6</v>
      </c>
      <c r="O32" s="203">
        <v>1.8</v>
      </c>
      <c r="P32" s="203">
        <v>2</v>
      </c>
      <c r="Q32" s="203">
        <v>2.2000000000000002</v>
      </c>
      <c r="R32" s="203">
        <v>2.4000000000000004</v>
      </c>
      <c r="S32" s="203">
        <v>2.6</v>
      </c>
      <c r="T32" s="203">
        <v>2.8</v>
      </c>
      <c r="U32" s="203">
        <v>3</v>
      </c>
      <c r="V32" s="203">
        <v>3.2</v>
      </c>
      <c r="W32" s="203">
        <v>3.4000000000000004</v>
      </c>
      <c r="X32" s="203">
        <v>3.6000000000000005</v>
      </c>
      <c r="Y32" s="203">
        <v>3.8</v>
      </c>
      <c r="Z32" s="203">
        <v>4</v>
      </c>
      <c r="AA32" s="203">
        <v>4.2</v>
      </c>
      <c r="AB32" s="203">
        <v>4.4000000000000004</v>
      </c>
      <c r="AC32" s="203">
        <v>4.6000000000000005</v>
      </c>
      <c r="AD32" s="203">
        <v>4.8</v>
      </c>
      <c r="AE32" s="203">
        <v>5</v>
      </c>
      <c r="AF32" s="203">
        <v>5.2</v>
      </c>
      <c r="AG32" s="203">
        <v>5.4</v>
      </c>
      <c r="AH32" s="203">
        <v>5.6000000000000005</v>
      </c>
      <c r="AI32" s="203">
        <v>5.8000000000000007</v>
      </c>
      <c r="AJ32" s="203">
        <v>6.0000000000000009</v>
      </c>
      <c r="AK32" s="203">
        <v>6.2</v>
      </c>
      <c r="AL32" s="203">
        <v>6.4</v>
      </c>
      <c r="AM32" s="203">
        <v>6.6000000000000005</v>
      </c>
      <c r="AN32" s="203">
        <v>6.8000000000000007</v>
      </c>
      <c r="AO32" s="203">
        <v>7.0000000000000009</v>
      </c>
      <c r="AP32" s="203">
        <v>7.2</v>
      </c>
      <c r="AQ32" s="209">
        <v>7.4</v>
      </c>
    </row>
    <row r="33" spans="11:43" ht="15" thickBot="1" x14ac:dyDescent="0.35">
      <c r="K33" s="207" t="s">
        <v>81</v>
      </c>
      <c r="L33" s="210">
        <v>445464</v>
      </c>
      <c r="M33" s="210">
        <v>386414</v>
      </c>
      <c r="N33" s="210">
        <v>341359</v>
      </c>
      <c r="O33" s="210">
        <v>305880</v>
      </c>
      <c r="P33" s="210">
        <v>277241</v>
      </c>
      <c r="Q33" s="210">
        <v>253658</v>
      </c>
      <c r="R33" s="210">
        <v>233916</v>
      </c>
      <c r="S33" s="210">
        <v>217163</v>
      </c>
      <c r="T33" s="210">
        <v>202780</v>
      </c>
      <c r="U33" s="210">
        <v>190308</v>
      </c>
      <c r="V33" s="210">
        <v>179401</v>
      </c>
      <c r="W33" s="210">
        <v>169789</v>
      </c>
      <c r="X33" s="210">
        <v>161263</v>
      </c>
      <c r="Y33" s="210">
        <v>153656</v>
      </c>
      <c r="Z33" s="210">
        <v>146835</v>
      </c>
      <c r="AA33" s="210">
        <v>140689</v>
      </c>
      <c r="AB33" s="210">
        <v>135129</v>
      </c>
      <c r="AC33" s="210">
        <v>130081</v>
      </c>
      <c r="AD33" s="210">
        <v>125482</v>
      </c>
      <c r="AE33" s="210">
        <v>121280</v>
      </c>
      <c r="AF33" s="210">
        <v>117431</v>
      </c>
      <c r="AG33" s="210">
        <v>113896</v>
      </c>
      <c r="AH33" s="210">
        <v>110643</v>
      </c>
      <c r="AI33" s="210">
        <v>107644</v>
      </c>
      <c r="AJ33" s="210">
        <v>104874</v>
      </c>
      <c r="AK33" s="210">
        <v>102313</v>
      </c>
      <c r="AL33" s="210">
        <v>99941</v>
      </c>
      <c r="AM33" s="210">
        <v>97742</v>
      </c>
      <c r="AN33" s="210">
        <v>95702</v>
      </c>
      <c r="AO33" s="210">
        <v>93808</v>
      </c>
      <c r="AP33" s="210">
        <v>92049</v>
      </c>
      <c r="AQ33" s="211">
        <v>90415</v>
      </c>
    </row>
    <row r="34" spans="11:43" ht="15.6" thickTop="1" thickBot="1" x14ac:dyDescent="0.35"/>
    <row r="35" spans="11:43" ht="15" thickTop="1" x14ac:dyDescent="0.3">
      <c r="K35" s="205" t="s">
        <v>318</v>
      </c>
      <c r="L35" s="204"/>
      <c r="M35" s="204"/>
      <c r="N35" s="204"/>
      <c r="O35" s="204"/>
      <c r="P35" s="204"/>
      <c r="Q35" s="204"/>
      <c r="R35" s="204"/>
      <c r="S35" s="204"/>
      <c r="T35" s="204"/>
      <c r="U35" s="204"/>
      <c r="V35" s="204"/>
      <c r="W35" s="204"/>
      <c r="X35" s="204"/>
      <c r="Y35" s="204"/>
      <c r="Z35" s="204"/>
      <c r="AA35" s="204"/>
      <c r="AB35" s="204"/>
      <c r="AC35" s="204"/>
      <c r="AD35" s="204"/>
      <c r="AE35" s="204"/>
      <c r="AF35" s="204"/>
      <c r="AG35" s="204"/>
      <c r="AH35" s="204"/>
      <c r="AI35" s="204"/>
      <c r="AJ35" s="204"/>
      <c r="AK35" s="204"/>
      <c r="AL35" s="204"/>
      <c r="AM35" s="204"/>
      <c r="AN35" s="204"/>
      <c r="AO35" s="204"/>
      <c r="AP35" s="204"/>
      <c r="AQ35" s="208"/>
    </row>
    <row r="36" spans="11:43" x14ac:dyDescent="0.3">
      <c r="K36" s="206" t="s">
        <v>323</v>
      </c>
      <c r="L36" s="203">
        <v>1.2</v>
      </c>
      <c r="M36" s="203">
        <v>1.4</v>
      </c>
      <c r="N36" s="203">
        <v>1.6</v>
      </c>
      <c r="O36" s="203">
        <v>1.8</v>
      </c>
      <c r="P36" s="203">
        <v>2</v>
      </c>
      <c r="Q36" s="203">
        <v>2.2000000000000002</v>
      </c>
      <c r="R36" s="203">
        <v>2.4000000000000004</v>
      </c>
      <c r="S36" s="203">
        <v>2.6</v>
      </c>
      <c r="T36" s="203">
        <v>2.8</v>
      </c>
      <c r="U36" s="203">
        <v>3</v>
      </c>
      <c r="V36" s="203">
        <v>3.2</v>
      </c>
      <c r="W36" s="203">
        <v>3.4000000000000004</v>
      </c>
      <c r="X36" s="203">
        <v>3.6000000000000005</v>
      </c>
      <c r="Y36" s="203">
        <v>3.8</v>
      </c>
      <c r="Z36" s="203">
        <v>4</v>
      </c>
      <c r="AA36" s="203">
        <v>4.2</v>
      </c>
      <c r="AB36" s="203">
        <v>4.4000000000000004</v>
      </c>
      <c r="AC36" s="203">
        <v>4.6000000000000005</v>
      </c>
      <c r="AD36" s="203">
        <v>4.8</v>
      </c>
      <c r="AE36" s="203">
        <v>5</v>
      </c>
      <c r="AF36" s="203">
        <v>5.2</v>
      </c>
      <c r="AG36" s="203">
        <v>5.4</v>
      </c>
      <c r="AH36" s="203">
        <v>5.6000000000000005</v>
      </c>
      <c r="AI36" s="203">
        <v>5.8000000000000007</v>
      </c>
      <c r="AJ36" s="203">
        <v>6.0000000000000009</v>
      </c>
      <c r="AK36" s="203">
        <v>6.2</v>
      </c>
      <c r="AL36" s="203">
        <v>6.4</v>
      </c>
      <c r="AM36" s="203">
        <v>6.6000000000000005</v>
      </c>
      <c r="AN36" s="203">
        <v>6.8000000000000007</v>
      </c>
      <c r="AO36" s="203">
        <v>7.0000000000000009</v>
      </c>
      <c r="AP36" s="203">
        <v>7.2</v>
      </c>
      <c r="AQ36" s="209">
        <v>7.4</v>
      </c>
    </row>
    <row r="37" spans="11:43" ht="15" thickBot="1" x14ac:dyDescent="0.35">
      <c r="K37" s="207" t="s">
        <v>81</v>
      </c>
      <c r="L37" s="210">
        <v>480351</v>
      </c>
      <c r="M37" s="210">
        <v>412089</v>
      </c>
      <c r="N37" s="210">
        <v>361000</v>
      </c>
      <c r="O37" s="210">
        <v>321361</v>
      </c>
      <c r="P37" s="210">
        <v>289737</v>
      </c>
      <c r="Q37" s="210">
        <v>263940</v>
      </c>
      <c r="R37" s="210">
        <v>242515</v>
      </c>
      <c r="S37" s="210">
        <v>224452</v>
      </c>
      <c r="T37" s="210">
        <v>209030</v>
      </c>
      <c r="U37" s="210">
        <v>195722</v>
      </c>
      <c r="V37" s="210">
        <v>184131</v>
      </c>
      <c r="W37" s="210">
        <v>173955</v>
      </c>
      <c r="X37" s="210">
        <v>164957</v>
      </c>
      <c r="Y37" s="210">
        <v>156952</v>
      </c>
      <c r="Z37" s="210">
        <v>149792</v>
      </c>
      <c r="AA37" s="210">
        <v>143355</v>
      </c>
      <c r="AB37" s="210">
        <v>137544</v>
      </c>
      <c r="AC37" s="210">
        <v>132277</v>
      </c>
      <c r="AD37" s="210">
        <v>127487</v>
      </c>
      <c r="AE37" s="210">
        <v>123118</v>
      </c>
      <c r="AF37" s="210">
        <v>119120</v>
      </c>
      <c r="AG37" s="210">
        <v>115453</v>
      </c>
      <c r="AH37" s="210">
        <v>112083</v>
      </c>
      <c r="AI37" s="210">
        <v>108978</v>
      </c>
      <c r="AJ37" s="210">
        <v>106114</v>
      </c>
      <c r="AK37" s="210">
        <v>103467</v>
      </c>
      <c r="AL37" s="210">
        <v>101018</v>
      </c>
      <c r="AM37" s="210">
        <v>98750</v>
      </c>
      <c r="AN37" s="210">
        <v>96646</v>
      </c>
      <c r="AO37" s="210">
        <v>94694</v>
      </c>
      <c r="AP37" s="210">
        <v>92882</v>
      </c>
      <c r="AQ37" s="211">
        <v>91199</v>
      </c>
    </row>
    <row r="38" spans="11:43" ht="15.6" thickTop="1" thickBot="1" x14ac:dyDescent="0.35"/>
    <row r="39" spans="11:43" ht="15" thickTop="1" x14ac:dyDescent="0.3">
      <c r="K39" s="205" t="s">
        <v>318</v>
      </c>
      <c r="L39" s="204"/>
      <c r="M39" s="204"/>
      <c r="N39" s="204"/>
      <c r="O39" s="204"/>
      <c r="P39" s="204"/>
      <c r="Q39" s="204"/>
      <c r="R39" s="204"/>
      <c r="S39" s="204"/>
      <c r="T39" s="204"/>
      <c r="U39" s="204"/>
      <c r="V39" s="204"/>
      <c r="W39" s="204"/>
      <c r="X39" s="204"/>
      <c r="Y39" s="204"/>
      <c r="Z39" s="204"/>
      <c r="AA39" s="204"/>
      <c r="AB39" s="204"/>
      <c r="AC39" s="204"/>
      <c r="AD39" s="204"/>
      <c r="AE39" s="204"/>
      <c r="AF39" s="204"/>
      <c r="AG39" s="204"/>
      <c r="AH39" s="204"/>
      <c r="AI39" s="204"/>
      <c r="AJ39" s="204"/>
      <c r="AK39" s="204"/>
      <c r="AL39" s="204"/>
      <c r="AM39" s="204"/>
      <c r="AN39" s="204"/>
      <c r="AO39" s="204"/>
      <c r="AP39" s="204"/>
      <c r="AQ39" s="208"/>
    </row>
    <row r="40" spans="11:43" x14ac:dyDescent="0.3">
      <c r="K40" s="206" t="s">
        <v>323</v>
      </c>
      <c r="L40" s="203">
        <v>1.2</v>
      </c>
      <c r="M40" s="203">
        <v>1.4</v>
      </c>
      <c r="N40" s="203">
        <v>1.6</v>
      </c>
      <c r="O40" s="203">
        <v>1.8</v>
      </c>
      <c r="P40" s="203">
        <v>2</v>
      </c>
      <c r="Q40" s="203">
        <v>2.2000000000000002</v>
      </c>
      <c r="R40" s="203">
        <v>2.4000000000000004</v>
      </c>
      <c r="S40" s="203">
        <v>2.6</v>
      </c>
      <c r="T40" s="203">
        <v>2.8</v>
      </c>
      <c r="U40" s="203">
        <v>3</v>
      </c>
      <c r="V40" s="203">
        <v>3.2</v>
      </c>
      <c r="W40" s="203">
        <v>3.4000000000000004</v>
      </c>
      <c r="X40" s="203">
        <v>3.6000000000000005</v>
      </c>
      <c r="Y40" s="203">
        <v>3.8</v>
      </c>
      <c r="Z40" s="203">
        <v>4</v>
      </c>
      <c r="AA40" s="203">
        <v>4.2</v>
      </c>
      <c r="AB40" s="203">
        <v>4.4000000000000004</v>
      </c>
      <c r="AC40" s="203">
        <v>4.6000000000000005</v>
      </c>
      <c r="AD40" s="203">
        <v>4.8</v>
      </c>
      <c r="AE40" s="203">
        <v>5</v>
      </c>
      <c r="AF40" s="203">
        <v>5.2</v>
      </c>
      <c r="AG40" s="203">
        <v>5.4</v>
      </c>
      <c r="AH40" s="203">
        <v>5.6000000000000005</v>
      </c>
      <c r="AI40" s="203">
        <v>5.8000000000000007</v>
      </c>
      <c r="AJ40" s="203">
        <v>6.0000000000000009</v>
      </c>
      <c r="AK40" s="203">
        <v>6.2</v>
      </c>
      <c r="AL40" s="203">
        <v>6.4</v>
      </c>
      <c r="AM40" s="203">
        <v>6.6000000000000005</v>
      </c>
      <c r="AN40" s="203">
        <v>6.8000000000000007</v>
      </c>
      <c r="AO40" s="203">
        <v>7.0000000000000009</v>
      </c>
      <c r="AP40" s="203">
        <v>7.2</v>
      </c>
      <c r="AQ40" s="209">
        <v>7.4</v>
      </c>
    </row>
    <row r="41" spans="11:43" ht="15" thickBot="1" x14ac:dyDescent="0.35">
      <c r="K41" s="207" t="s">
        <v>81</v>
      </c>
      <c r="L41" s="210">
        <v>521557</v>
      </c>
      <c r="M41" s="210">
        <v>441693</v>
      </c>
      <c r="N41" s="210">
        <v>383244</v>
      </c>
      <c r="O41" s="210">
        <v>338650</v>
      </c>
      <c r="P41" s="210">
        <v>303535</v>
      </c>
      <c r="Q41" s="210">
        <v>275191</v>
      </c>
      <c r="R41" s="210">
        <v>251851</v>
      </c>
      <c r="S41" s="210">
        <v>232315</v>
      </c>
      <c r="T41" s="210">
        <v>215735</v>
      </c>
      <c r="U41" s="210">
        <v>201502</v>
      </c>
      <c r="V41" s="210">
        <v>189161</v>
      </c>
      <c r="W41" s="210">
        <v>178367</v>
      </c>
      <c r="X41" s="210">
        <v>168857</v>
      </c>
      <c r="Y41" s="210">
        <v>160421</v>
      </c>
      <c r="Z41" s="210">
        <v>152895</v>
      </c>
      <c r="AA41" s="210">
        <v>146146</v>
      </c>
      <c r="AB41" s="210">
        <v>140067</v>
      </c>
      <c r="AC41" s="210">
        <v>134567</v>
      </c>
      <c r="AD41" s="210">
        <v>129574</v>
      </c>
      <c r="AE41" s="210">
        <v>125026</v>
      </c>
      <c r="AF41" s="210">
        <v>120871</v>
      </c>
      <c r="AG41" s="210">
        <v>117065</v>
      </c>
      <c r="AH41" s="210">
        <v>113571</v>
      </c>
      <c r="AI41" s="210">
        <v>110356</v>
      </c>
      <c r="AJ41" s="210">
        <v>107393</v>
      </c>
      <c r="AK41" s="210">
        <v>104657</v>
      </c>
      <c r="AL41" s="210">
        <v>102127</v>
      </c>
      <c r="AM41" s="210">
        <v>99785</v>
      </c>
      <c r="AN41" s="210">
        <v>97616</v>
      </c>
      <c r="AO41" s="210">
        <v>95603</v>
      </c>
      <c r="AP41" s="210">
        <v>93736</v>
      </c>
      <c r="AQ41" s="211">
        <v>92002</v>
      </c>
    </row>
    <row r="42" spans="11:43" ht="15.6" thickTop="1" thickBot="1" x14ac:dyDescent="0.35"/>
    <row r="43" spans="11:43" ht="15" thickTop="1" x14ac:dyDescent="0.3">
      <c r="K43" s="205" t="s">
        <v>318</v>
      </c>
      <c r="L43" s="204"/>
      <c r="M43" s="204"/>
      <c r="N43" s="204"/>
      <c r="O43" s="204"/>
      <c r="P43" s="204"/>
      <c r="Q43" s="204"/>
      <c r="R43" s="204"/>
      <c r="S43" s="204"/>
      <c r="T43" s="204"/>
      <c r="U43" s="204"/>
      <c r="V43" s="204"/>
      <c r="W43" s="204"/>
      <c r="X43" s="204"/>
      <c r="Y43" s="204"/>
      <c r="Z43" s="204"/>
      <c r="AA43" s="204"/>
      <c r="AB43" s="204"/>
      <c r="AC43" s="204"/>
      <c r="AD43" s="204"/>
      <c r="AE43" s="204"/>
      <c r="AF43" s="204"/>
      <c r="AG43" s="204"/>
      <c r="AH43" s="204"/>
      <c r="AI43" s="204"/>
      <c r="AJ43" s="204"/>
      <c r="AK43" s="204"/>
      <c r="AL43" s="204"/>
      <c r="AM43" s="204"/>
      <c r="AN43" s="204"/>
      <c r="AO43" s="204"/>
      <c r="AP43" s="204"/>
      <c r="AQ43" s="208"/>
    </row>
    <row r="44" spans="11:43" x14ac:dyDescent="0.3">
      <c r="K44" s="206" t="s">
        <v>323</v>
      </c>
      <c r="L44" s="203">
        <v>1.2</v>
      </c>
      <c r="M44" s="203">
        <v>1.4</v>
      </c>
      <c r="N44" s="203">
        <v>1.6</v>
      </c>
      <c r="O44" s="203">
        <v>1.8</v>
      </c>
      <c r="P44" s="203">
        <v>2</v>
      </c>
      <c r="Q44" s="203">
        <v>2.2000000000000002</v>
      </c>
      <c r="R44" s="203">
        <v>2.4000000000000004</v>
      </c>
      <c r="S44" s="203">
        <v>2.6</v>
      </c>
      <c r="T44" s="203">
        <v>2.8</v>
      </c>
      <c r="U44" s="203">
        <v>3</v>
      </c>
      <c r="V44" s="203">
        <v>3.2</v>
      </c>
      <c r="W44" s="203">
        <v>3.4000000000000004</v>
      </c>
      <c r="X44" s="203">
        <v>3.6000000000000005</v>
      </c>
      <c r="Y44" s="203">
        <v>3.8</v>
      </c>
      <c r="Z44" s="203">
        <v>4</v>
      </c>
      <c r="AA44" s="203">
        <v>4.2</v>
      </c>
      <c r="AB44" s="203">
        <v>4.4000000000000004</v>
      </c>
      <c r="AC44" s="203">
        <v>4.6000000000000005</v>
      </c>
      <c r="AD44" s="203">
        <v>4.8</v>
      </c>
      <c r="AE44" s="203">
        <v>5</v>
      </c>
      <c r="AF44" s="203">
        <v>5.2</v>
      </c>
      <c r="AG44" s="203">
        <v>5.4</v>
      </c>
      <c r="AH44" s="203">
        <v>5.6000000000000005</v>
      </c>
      <c r="AI44" s="203">
        <v>5.8000000000000007</v>
      </c>
      <c r="AJ44" s="203">
        <v>6.0000000000000009</v>
      </c>
      <c r="AK44" s="203">
        <v>6.2</v>
      </c>
      <c r="AL44" s="203">
        <v>6.4</v>
      </c>
      <c r="AM44" s="203">
        <v>6.6000000000000005</v>
      </c>
      <c r="AN44" s="203">
        <v>6.8000000000000007</v>
      </c>
      <c r="AO44" s="203">
        <v>7.0000000000000009</v>
      </c>
      <c r="AP44" s="203">
        <v>7.2</v>
      </c>
      <c r="AQ44" s="209">
        <v>7.4</v>
      </c>
    </row>
    <row r="45" spans="11:43" ht="15" thickBot="1" x14ac:dyDescent="0.35">
      <c r="K45" s="207" t="s">
        <v>81</v>
      </c>
      <c r="L45" s="210">
        <v>570976</v>
      </c>
      <c r="M45" s="210">
        <v>476209</v>
      </c>
      <c r="N45" s="210">
        <v>408646</v>
      </c>
      <c r="O45" s="210">
        <v>358083</v>
      </c>
      <c r="P45" s="210">
        <v>318853</v>
      </c>
      <c r="Q45" s="210">
        <v>287555</v>
      </c>
      <c r="R45" s="210">
        <v>262026</v>
      </c>
      <c r="S45" s="210">
        <v>240824</v>
      </c>
      <c r="T45" s="210">
        <v>222948</v>
      </c>
      <c r="U45" s="210">
        <v>207688</v>
      </c>
      <c r="V45" s="210">
        <v>194519</v>
      </c>
      <c r="W45" s="210">
        <v>183049</v>
      </c>
      <c r="X45" s="210">
        <v>172980</v>
      </c>
      <c r="Y45" s="210">
        <v>164077</v>
      </c>
      <c r="Z45" s="210">
        <v>156157</v>
      </c>
      <c r="AA45" s="210">
        <v>149073</v>
      </c>
      <c r="AB45" s="210">
        <v>142705</v>
      </c>
      <c r="AC45" s="210">
        <v>136957</v>
      </c>
      <c r="AD45" s="210">
        <v>131748</v>
      </c>
      <c r="AE45" s="210">
        <v>127010</v>
      </c>
      <c r="AF45" s="210">
        <v>122689</v>
      </c>
      <c r="AG45" s="210">
        <v>118736</v>
      </c>
      <c r="AH45" s="210">
        <v>115112</v>
      </c>
      <c r="AI45" s="210">
        <v>111780</v>
      </c>
      <c r="AJ45" s="210">
        <v>108713</v>
      </c>
      <c r="AK45" s="210">
        <v>105883</v>
      </c>
      <c r="AL45" s="210">
        <v>103269</v>
      </c>
      <c r="AM45" s="210">
        <v>100851</v>
      </c>
      <c r="AN45" s="210">
        <v>98612</v>
      </c>
      <c r="AO45" s="210">
        <v>96536</v>
      </c>
      <c r="AP45" s="210">
        <v>94611</v>
      </c>
      <c r="AQ45" s="211">
        <v>92825</v>
      </c>
    </row>
    <row r="46" spans="11:43" ht="15.6" thickTop="1" thickBot="1" x14ac:dyDescent="0.35"/>
    <row r="47" spans="11:43" ht="15" thickTop="1" x14ac:dyDescent="0.3">
      <c r="K47" s="205" t="s">
        <v>318</v>
      </c>
      <c r="L47" s="204"/>
      <c r="M47" s="204"/>
      <c r="N47" s="204"/>
      <c r="O47" s="204"/>
      <c r="P47" s="204"/>
      <c r="Q47" s="204"/>
      <c r="R47" s="204"/>
      <c r="S47" s="204"/>
      <c r="T47" s="204"/>
      <c r="U47" s="204"/>
      <c r="V47" s="204"/>
      <c r="W47" s="204"/>
      <c r="X47" s="204"/>
      <c r="Y47" s="204"/>
      <c r="Z47" s="204"/>
      <c r="AA47" s="204"/>
      <c r="AB47" s="204"/>
      <c r="AC47" s="204"/>
      <c r="AD47" s="204"/>
      <c r="AE47" s="204"/>
      <c r="AF47" s="204"/>
      <c r="AG47" s="204"/>
      <c r="AH47" s="204"/>
      <c r="AI47" s="204"/>
      <c r="AJ47" s="204"/>
      <c r="AK47" s="204"/>
      <c r="AL47" s="204"/>
      <c r="AM47" s="204"/>
      <c r="AN47" s="204"/>
      <c r="AO47" s="204"/>
      <c r="AP47" s="204"/>
      <c r="AQ47" s="208"/>
    </row>
    <row r="48" spans="11:43" x14ac:dyDescent="0.3">
      <c r="K48" s="206" t="s">
        <v>323</v>
      </c>
      <c r="L48" s="203">
        <v>1.2</v>
      </c>
      <c r="M48" s="203">
        <v>1.4</v>
      </c>
      <c r="N48" s="203">
        <v>1.6</v>
      </c>
      <c r="O48" s="203">
        <v>1.8</v>
      </c>
      <c r="P48" s="203">
        <v>2</v>
      </c>
      <c r="Q48" s="203">
        <v>2.2000000000000002</v>
      </c>
      <c r="R48" s="203">
        <v>2.4000000000000004</v>
      </c>
      <c r="S48" s="203">
        <v>2.6</v>
      </c>
      <c r="T48" s="203">
        <v>2.8</v>
      </c>
      <c r="U48" s="203">
        <v>3</v>
      </c>
      <c r="V48" s="203">
        <v>3.2</v>
      </c>
      <c r="W48" s="203">
        <v>3.4000000000000004</v>
      </c>
      <c r="X48" s="203">
        <v>3.6000000000000005</v>
      </c>
      <c r="Y48" s="203">
        <v>3.8</v>
      </c>
      <c r="Z48" s="203">
        <v>4</v>
      </c>
      <c r="AA48" s="203">
        <v>4.2</v>
      </c>
      <c r="AB48" s="203">
        <v>4.4000000000000004</v>
      </c>
      <c r="AC48" s="203">
        <v>4.6000000000000005</v>
      </c>
      <c r="AD48" s="203">
        <v>4.8</v>
      </c>
      <c r="AE48" s="203">
        <v>5</v>
      </c>
      <c r="AF48" s="203">
        <v>5.2</v>
      </c>
      <c r="AG48" s="203">
        <v>5.4</v>
      </c>
      <c r="AH48" s="203">
        <v>5.6000000000000005</v>
      </c>
      <c r="AI48" s="203">
        <v>5.8000000000000007</v>
      </c>
      <c r="AJ48" s="203">
        <v>6.0000000000000009</v>
      </c>
      <c r="AK48" s="203">
        <v>6.2</v>
      </c>
      <c r="AL48" s="203">
        <v>6.4</v>
      </c>
      <c r="AM48" s="203">
        <v>6.6000000000000005</v>
      </c>
      <c r="AN48" s="203">
        <v>6.8000000000000007</v>
      </c>
      <c r="AO48" s="203">
        <v>7.0000000000000009</v>
      </c>
      <c r="AP48" s="203">
        <v>7.2</v>
      </c>
      <c r="AQ48" s="209">
        <v>7.4</v>
      </c>
    </row>
    <row r="49" spans="11:43" ht="15" thickBot="1" x14ac:dyDescent="0.35">
      <c r="K49" s="207" t="s">
        <v>81</v>
      </c>
      <c r="L49" s="210">
        <v>631341</v>
      </c>
      <c r="M49" s="210">
        <v>516973</v>
      </c>
      <c r="N49" s="210">
        <v>437934</v>
      </c>
      <c r="O49" s="210">
        <v>380089</v>
      </c>
      <c r="P49" s="210">
        <v>335958</v>
      </c>
      <c r="Q49" s="210">
        <v>301209</v>
      </c>
      <c r="R49" s="210">
        <v>273160</v>
      </c>
      <c r="S49" s="210">
        <v>250063</v>
      </c>
      <c r="T49" s="210">
        <v>230730</v>
      </c>
      <c r="U49" s="210">
        <v>214324</v>
      </c>
      <c r="V49" s="210">
        <v>200239</v>
      </c>
      <c r="W49" s="210">
        <v>188027</v>
      </c>
      <c r="X49" s="210">
        <v>177347</v>
      </c>
      <c r="Y49" s="210">
        <v>167937</v>
      </c>
      <c r="Z49" s="210">
        <v>159590</v>
      </c>
      <c r="AA49" s="210">
        <v>152144</v>
      </c>
      <c r="AB49" s="210">
        <v>145468</v>
      </c>
      <c r="AC49" s="210">
        <v>139454</v>
      </c>
      <c r="AD49" s="210">
        <v>134014</v>
      </c>
      <c r="AE49" s="210">
        <v>129076</v>
      </c>
      <c r="AF49" s="210">
        <v>124578</v>
      </c>
      <c r="AG49" s="210">
        <v>120470</v>
      </c>
      <c r="AH49" s="210">
        <v>116707</v>
      </c>
      <c r="AI49" s="210">
        <v>113253</v>
      </c>
      <c r="AJ49" s="210">
        <v>110076</v>
      </c>
      <c r="AK49" s="210">
        <v>107148</v>
      </c>
      <c r="AL49" s="210">
        <v>104446</v>
      </c>
      <c r="AM49" s="210">
        <v>101948</v>
      </c>
      <c r="AN49" s="210">
        <v>99636</v>
      </c>
      <c r="AO49" s="210">
        <v>97495</v>
      </c>
      <c r="AP49" s="210">
        <v>95510</v>
      </c>
      <c r="AQ49" s="211">
        <v>93669</v>
      </c>
    </row>
    <row r="50" spans="11:43" ht="15.6" thickTop="1" thickBot="1" x14ac:dyDescent="0.35"/>
    <row r="51" spans="11:43" ht="15" thickTop="1" x14ac:dyDescent="0.3">
      <c r="K51" s="205" t="s">
        <v>318</v>
      </c>
      <c r="L51" s="204"/>
      <c r="M51" s="204"/>
      <c r="N51" s="204"/>
      <c r="O51" s="204"/>
      <c r="P51" s="204"/>
      <c r="Q51" s="204"/>
      <c r="R51" s="204"/>
      <c r="S51" s="204"/>
      <c r="T51" s="204"/>
      <c r="U51" s="204"/>
      <c r="V51" s="204"/>
      <c r="W51" s="204"/>
      <c r="X51" s="204"/>
      <c r="Y51" s="204"/>
      <c r="Z51" s="204"/>
      <c r="AA51" s="204"/>
      <c r="AB51" s="204"/>
      <c r="AC51" s="204"/>
      <c r="AD51" s="204"/>
      <c r="AE51" s="204"/>
      <c r="AF51" s="204"/>
      <c r="AG51" s="204"/>
      <c r="AH51" s="204"/>
      <c r="AI51" s="204"/>
      <c r="AJ51" s="204"/>
      <c r="AK51" s="204"/>
      <c r="AL51" s="204"/>
      <c r="AM51" s="204"/>
      <c r="AN51" s="204"/>
      <c r="AO51" s="204"/>
      <c r="AP51" s="204"/>
      <c r="AQ51" s="208"/>
    </row>
    <row r="52" spans="11:43" x14ac:dyDescent="0.3">
      <c r="K52" s="206" t="s">
        <v>323</v>
      </c>
      <c r="L52" s="203">
        <v>1.2</v>
      </c>
      <c r="M52" s="203">
        <v>1.4</v>
      </c>
      <c r="N52" s="203">
        <v>1.6</v>
      </c>
      <c r="O52" s="203">
        <v>1.8</v>
      </c>
      <c r="P52" s="203">
        <v>2</v>
      </c>
      <c r="Q52" s="203">
        <v>2.2000000000000002</v>
      </c>
      <c r="R52" s="203">
        <v>2.4000000000000004</v>
      </c>
      <c r="S52" s="203">
        <v>2.6</v>
      </c>
      <c r="T52" s="203">
        <v>2.8</v>
      </c>
      <c r="U52" s="203">
        <v>3</v>
      </c>
      <c r="V52" s="203">
        <v>3.2</v>
      </c>
      <c r="W52" s="203">
        <v>3.4000000000000004</v>
      </c>
      <c r="X52" s="203">
        <v>3.6000000000000005</v>
      </c>
      <c r="Y52" s="203">
        <v>3.8</v>
      </c>
      <c r="Z52" s="203">
        <v>4</v>
      </c>
      <c r="AA52" s="203">
        <v>4.2</v>
      </c>
      <c r="AB52" s="203">
        <v>4.4000000000000004</v>
      </c>
      <c r="AC52" s="203">
        <v>4.6000000000000005</v>
      </c>
      <c r="AD52" s="203">
        <v>4.8</v>
      </c>
      <c r="AE52" s="203">
        <v>5</v>
      </c>
      <c r="AF52" s="203">
        <v>5.2</v>
      </c>
      <c r="AG52" s="203">
        <v>5.4</v>
      </c>
      <c r="AH52" s="203">
        <v>5.6000000000000005</v>
      </c>
      <c r="AI52" s="203">
        <v>5.8000000000000007</v>
      </c>
      <c r="AJ52" s="203">
        <v>6.0000000000000009</v>
      </c>
      <c r="AK52" s="203">
        <v>6.2</v>
      </c>
      <c r="AL52" s="203">
        <v>6.4</v>
      </c>
      <c r="AM52" s="203">
        <v>6.6000000000000005</v>
      </c>
      <c r="AN52" s="203">
        <v>6.8000000000000007</v>
      </c>
      <c r="AO52" s="203">
        <v>7.0000000000000009</v>
      </c>
      <c r="AP52" s="203">
        <v>7.2</v>
      </c>
      <c r="AQ52" s="209">
        <v>7.4</v>
      </c>
    </row>
    <row r="53" spans="11:43" ht="15" thickBot="1" x14ac:dyDescent="0.35">
      <c r="K53" s="207" t="s">
        <v>81</v>
      </c>
      <c r="L53" s="210">
        <v>706745</v>
      </c>
      <c r="M53" s="210">
        <v>565853</v>
      </c>
      <c r="N53" s="210">
        <v>472076</v>
      </c>
      <c r="O53" s="210">
        <v>405219</v>
      </c>
      <c r="P53" s="210">
        <v>355185</v>
      </c>
      <c r="Q53" s="210">
        <v>316365</v>
      </c>
      <c r="R53" s="210">
        <v>285394</v>
      </c>
      <c r="S53" s="210">
        <v>260132</v>
      </c>
      <c r="T53" s="210">
        <v>239151</v>
      </c>
      <c r="U53" s="210">
        <v>221463</v>
      </c>
      <c r="V53" s="210">
        <v>206362</v>
      </c>
      <c r="W53" s="210">
        <v>193331</v>
      </c>
      <c r="X53" s="210">
        <v>181982</v>
      </c>
      <c r="Y53" s="210">
        <v>172018</v>
      </c>
      <c r="Z53" s="210">
        <v>163209</v>
      </c>
      <c r="AA53" s="210">
        <v>155373</v>
      </c>
      <c r="AB53" s="210">
        <v>148365</v>
      </c>
      <c r="AC53" s="210">
        <v>142065</v>
      </c>
      <c r="AD53" s="210">
        <v>136379</v>
      </c>
      <c r="AE53" s="210">
        <v>131227</v>
      </c>
      <c r="AF53" s="210">
        <v>126542</v>
      </c>
      <c r="AG53" s="210">
        <v>122269</v>
      </c>
      <c r="AH53" s="210">
        <v>118361</v>
      </c>
      <c r="AI53" s="210">
        <v>114778</v>
      </c>
      <c r="AJ53" s="210">
        <v>111486</v>
      </c>
      <c r="AK53" s="210">
        <v>108455</v>
      </c>
      <c r="AL53" s="210">
        <v>105659</v>
      </c>
      <c r="AM53" s="210">
        <v>103078</v>
      </c>
      <c r="AN53" s="210">
        <v>100691</v>
      </c>
      <c r="AO53" s="210">
        <v>98481</v>
      </c>
      <c r="AP53" s="210">
        <v>96433</v>
      </c>
      <c r="AQ53" s="211">
        <v>94535</v>
      </c>
    </row>
    <row r="54" spans="11:43" ht="15" thickTop="1" x14ac:dyDescent="0.3"/>
  </sheetData>
  <mergeCells count="16">
    <mergeCell ref="A4:F4"/>
    <mergeCell ref="A19:E19"/>
    <mergeCell ref="A5:E5"/>
    <mergeCell ref="A6:E6"/>
    <mergeCell ref="A7:E7"/>
    <mergeCell ref="A8:E8"/>
    <mergeCell ref="A9:E9"/>
    <mergeCell ref="A10:E10"/>
    <mergeCell ref="A18:E18"/>
    <mergeCell ref="A12:E12"/>
    <mergeCell ref="A13:E13"/>
    <mergeCell ref="A14:E14"/>
    <mergeCell ref="A15:E15"/>
    <mergeCell ref="A16:E16"/>
    <mergeCell ref="A17:E17"/>
    <mergeCell ref="A11:E1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AE181"/>
  <sheetViews>
    <sheetView topLeftCell="A16" zoomScale="85" zoomScaleNormal="85" workbookViewId="0">
      <selection activeCell="D20" sqref="D20"/>
    </sheetView>
  </sheetViews>
  <sheetFormatPr defaultRowHeight="13.2" x14ac:dyDescent="0.25"/>
  <cols>
    <col min="1" max="28" width="17.109375" style="13" customWidth="1"/>
    <col min="29" max="261" width="9.109375" style="13"/>
    <col min="262" max="262" width="9.33203125" style="13" customWidth="1"/>
    <col min="263" max="266" width="9.109375" style="13"/>
    <col min="267" max="267" width="16.44140625" style="13" customWidth="1"/>
    <col min="268" max="517" width="9.109375" style="13"/>
    <col min="518" max="518" width="9.33203125" style="13" customWidth="1"/>
    <col min="519" max="522" width="9.109375" style="13"/>
    <col min="523" max="523" width="16.44140625" style="13" customWidth="1"/>
    <col min="524" max="773" width="9.109375" style="13"/>
    <col min="774" max="774" width="9.33203125" style="13" customWidth="1"/>
    <col min="775" max="778" width="9.109375" style="13"/>
    <col min="779" max="779" width="16.44140625" style="13" customWidth="1"/>
    <col min="780" max="1029" width="9.109375" style="13"/>
    <col min="1030" max="1030" width="9.33203125" style="13" customWidth="1"/>
    <col min="1031" max="1034" width="9.109375" style="13"/>
    <col min="1035" max="1035" width="16.44140625" style="13" customWidth="1"/>
    <col min="1036" max="1285" width="9.109375" style="13"/>
    <col min="1286" max="1286" width="9.33203125" style="13" customWidth="1"/>
    <col min="1287" max="1290" width="9.109375" style="13"/>
    <col min="1291" max="1291" width="16.44140625" style="13" customWidth="1"/>
    <col min="1292" max="1541" width="9.109375" style="13"/>
    <col min="1542" max="1542" width="9.33203125" style="13" customWidth="1"/>
    <col min="1543" max="1546" width="9.109375" style="13"/>
    <col min="1547" max="1547" width="16.44140625" style="13" customWidth="1"/>
    <col min="1548" max="1797" width="9.109375" style="13"/>
    <col min="1798" max="1798" width="9.33203125" style="13" customWidth="1"/>
    <col min="1799" max="1802" width="9.109375" style="13"/>
    <col min="1803" max="1803" width="16.44140625" style="13" customWidth="1"/>
    <col min="1804" max="2053" width="9.109375" style="13"/>
    <col min="2054" max="2054" width="9.33203125" style="13" customWidth="1"/>
    <col min="2055" max="2058" width="9.109375" style="13"/>
    <col min="2059" max="2059" width="16.44140625" style="13" customWidth="1"/>
    <col min="2060" max="2309" width="9.109375" style="13"/>
    <col min="2310" max="2310" width="9.33203125" style="13" customWidth="1"/>
    <col min="2311" max="2314" width="9.109375" style="13"/>
    <col min="2315" max="2315" width="16.44140625" style="13" customWidth="1"/>
    <col min="2316" max="2565" width="9.109375" style="13"/>
    <col min="2566" max="2566" width="9.33203125" style="13" customWidth="1"/>
    <col min="2567" max="2570" width="9.109375" style="13"/>
    <col min="2571" max="2571" width="16.44140625" style="13" customWidth="1"/>
    <col min="2572" max="2821" width="9.109375" style="13"/>
    <col min="2822" max="2822" width="9.33203125" style="13" customWidth="1"/>
    <col min="2823" max="2826" width="9.109375" style="13"/>
    <col min="2827" max="2827" width="16.44140625" style="13" customWidth="1"/>
    <col min="2828" max="3077" width="9.109375" style="13"/>
    <col min="3078" max="3078" width="9.33203125" style="13" customWidth="1"/>
    <col min="3079" max="3082" width="9.109375" style="13"/>
    <col min="3083" max="3083" width="16.44140625" style="13" customWidth="1"/>
    <col min="3084" max="3333" width="9.109375" style="13"/>
    <col min="3334" max="3334" width="9.33203125" style="13" customWidth="1"/>
    <col min="3335" max="3338" width="9.109375" style="13"/>
    <col min="3339" max="3339" width="16.44140625" style="13" customWidth="1"/>
    <col min="3340" max="3589" width="9.109375" style="13"/>
    <col min="3590" max="3590" width="9.33203125" style="13" customWidth="1"/>
    <col min="3591" max="3594" width="9.109375" style="13"/>
    <col min="3595" max="3595" width="16.44140625" style="13" customWidth="1"/>
    <col min="3596" max="3845" width="9.109375" style="13"/>
    <col min="3846" max="3846" width="9.33203125" style="13" customWidth="1"/>
    <col min="3847" max="3850" width="9.109375" style="13"/>
    <col min="3851" max="3851" width="16.44140625" style="13" customWidth="1"/>
    <col min="3852" max="4101" width="9.109375" style="13"/>
    <col min="4102" max="4102" width="9.33203125" style="13" customWidth="1"/>
    <col min="4103" max="4106" width="9.109375" style="13"/>
    <col min="4107" max="4107" width="16.44140625" style="13" customWidth="1"/>
    <col min="4108" max="4357" width="9.109375" style="13"/>
    <col min="4358" max="4358" width="9.33203125" style="13" customWidth="1"/>
    <col min="4359" max="4362" width="9.109375" style="13"/>
    <col min="4363" max="4363" width="16.44140625" style="13" customWidth="1"/>
    <col min="4364" max="4613" width="9.109375" style="13"/>
    <col min="4614" max="4614" width="9.33203125" style="13" customWidth="1"/>
    <col min="4615" max="4618" width="9.109375" style="13"/>
    <col min="4619" max="4619" width="16.44140625" style="13" customWidth="1"/>
    <col min="4620" max="4869" width="9.109375" style="13"/>
    <col min="4870" max="4870" width="9.33203125" style="13" customWidth="1"/>
    <col min="4871" max="4874" width="9.109375" style="13"/>
    <col min="4875" max="4875" width="16.44140625" style="13" customWidth="1"/>
    <col min="4876" max="5125" width="9.109375" style="13"/>
    <col min="5126" max="5126" width="9.33203125" style="13" customWidth="1"/>
    <col min="5127" max="5130" width="9.109375" style="13"/>
    <col min="5131" max="5131" width="16.44140625" style="13" customWidth="1"/>
    <col min="5132" max="5381" width="9.109375" style="13"/>
    <col min="5382" max="5382" width="9.33203125" style="13" customWidth="1"/>
    <col min="5383" max="5386" width="9.109375" style="13"/>
    <col min="5387" max="5387" width="16.44140625" style="13" customWidth="1"/>
    <col min="5388" max="5637" width="9.109375" style="13"/>
    <col min="5638" max="5638" width="9.33203125" style="13" customWidth="1"/>
    <col min="5639" max="5642" width="9.109375" style="13"/>
    <col min="5643" max="5643" width="16.44140625" style="13" customWidth="1"/>
    <col min="5644" max="5893" width="9.109375" style="13"/>
    <col min="5894" max="5894" width="9.33203125" style="13" customWidth="1"/>
    <col min="5895" max="5898" width="9.109375" style="13"/>
    <col min="5899" max="5899" width="16.44140625" style="13" customWidth="1"/>
    <col min="5900" max="6149" width="9.109375" style="13"/>
    <col min="6150" max="6150" width="9.33203125" style="13" customWidth="1"/>
    <col min="6151" max="6154" width="9.109375" style="13"/>
    <col min="6155" max="6155" width="16.44140625" style="13" customWidth="1"/>
    <col min="6156" max="6405" width="9.109375" style="13"/>
    <col min="6406" max="6406" width="9.33203125" style="13" customWidth="1"/>
    <col min="6407" max="6410" width="9.109375" style="13"/>
    <col min="6411" max="6411" width="16.44140625" style="13" customWidth="1"/>
    <col min="6412" max="6661" width="9.109375" style="13"/>
    <col min="6662" max="6662" width="9.33203125" style="13" customWidth="1"/>
    <col min="6663" max="6666" width="9.109375" style="13"/>
    <col min="6667" max="6667" width="16.44140625" style="13" customWidth="1"/>
    <col min="6668" max="6917" width="9.109375" style="13"/>
    <col min="6918" max="6918" width="9.33203125" style="13" customWidth="1"/>
    <col min="6919" max="6922" width="9.109375" style="13"/>
    <col min="6923" max="6923" width="16.44140625" style="13" customWidth="1"/>
    <col min="6924" max="7173" width="9.109375" style="13"/>
    <col min="7174" max="7174" width="9.33203125" style="13" customWidth="1"/>
    <col min="7175" max="7178" width="9.109375" style="13"/>
    <col min="7179" max="7179" width="16.44140625" style="13" customWidth="1"/>
    <col min="7180" max="7429" width="9.109375" style="13"/>
    <col min="7430" max="7430" width="9.33203125" style="13" customWidth="1"/>
    <col min="7431" max="7434" width="9.109375" style="13"/>
    <col min="7435" max="7435" width="16.44140625" style="13" customWidth="1"/>
    <col min="7436" max="7685" width="9.109375" style="13"/>
    <col min="7686" max="7686" width="9.33203125" style="13" customWidth="1"/>
    <col min="7687" max="7690" width="9.109375" style="13"/>
    <col min="7691" max="7691" width="16.44140625" style="13" customWidth="1"/>
    <col min="7692" max="7941" width="9.109375" style="13"/>
    <col min="7942" max="7942" width="9.33203125" style="13" customWidth="1"/>
    <col min="7943" max="7946" width="9.109375" style="13"/>
    <col min="7947" max="7947" width="16.44140625" style="13" customWidth="1"/>
    <col min="7948" max="8197" width="9.109375" style="13"/>
    <col min="8198" max="8198" width="9.33203125" style="13" customWidth="1"/>
    <col min="8199" max="8202" width="9.109375" style="13"/>
    <col min="8203" max="8203" width="16.44140625" style="13" customWidth="1"/>
    <col min="8204" max="8453" width="9.109375" style="13"/>
    <col min="8454" max="8454" width="9.33203125" style="13" customWidth="1"/>
    <col min="8455" max="8458" width="9.109375" style="13"/>
    <col min="8459" max="8459" width="16.44140625" style="13" customWidth="1"/>
    <col min="8460" max="8709" width="9.109375" style="13"/>
    <col min="8710" max="8710" width="9.33203125" style="13" customWidth="1"/>
    <col min="8711" max="8714" width="9.109375" style="13"/>
    <col min="8715" max="8715" width="16.44140625" style="13" customWidth="1"/>
    <col min="8716" max="8965" width="9.109375" style="13"/>
    <col min="8966" max="8966" width="9.33203125" style="13" customWidth="1"/>
    <col min="8967" max="8970" width="9.109375" style="13"/>
    <col min="8971" max="8971" width="16.44140625" style="13" customWidth="1"/>
    <col min="8972" max="9221" width="9.109375" style="13"/>
    <col min="9222" max="9222" width="9.33203125" style="13" customWidth="1"/>
    <col min="9223" max="9226" width="9.109375" style="13"/>
    <col min="9227" max="9227" width="16.44140625" style="13" customWidth="1"/>
    <col min="9228" max="9477" width="9.109375" style="13"/>
    <col min="9478" max="9478" width="9.33203125" style="13" customWidth="1"/>
    <col min="9479" max="9482" width="9.109375" style="13"/>
    <col min="9483" max="9483" width="16.44140625" style="13" customWidth="1"/>
    <col min="9484" max="9733" width="9.109375" style="13"/>
    <col min="9734" max="9734" width="9.33203125" style="13" customWidth="1"/>
    <col min="9735" max="9738" width="9.109375" style="13"/>
    <col min="9739" max="9739" width="16.44140625" style="13" customWidth="1"/>
    <col min="9740" max="9989" width="9.109375" style="13"/>
    <col min="9990" max="9990" width="9.33203125" style="13" customWidth="1"/>
    <col min="9991" max="9994" width="9.109375" style="13"/>
    <col min="9995" max="9995" width="16.44140625" style="13" customWidth="1"/>
    <col min="9996" max="10245" width="9.109375" style="13"/>
    <col min="10246" max="10246" width="9.33203125" style="13" customWidth="1"/>
    <col min="10247" max="10250" width="9.109375" style="13"/>
    <col min="10251" max="10251" width="16.44140625" style="13" customWidth="1"/>
    <col min="10252" max="10501" width="9.109375" style="13"/>
    <col min="10502" max="10502" width="9.33203125" style="13" customWidth="1"/>
    <col min="10503" max="10506" width="9.109375" style="13"/>
    <col min="10507" max="10507" width="16.44140625" style="13" customWidth="1"/>
    <col min="10508" max="10757" width="9.109375" style="13"/>
    <col min="10758" max="10758" width="9.33203125" style="13" customWidth="1"/>
    <col min="10759" max="10762" width="9.109375" style="13"/>
    <col min="10763" max="10763" width="16.44140625" style="13" customWidth="1"/>
    <col min="10764" max="11013" width="9.109375" style="13"/>
    <col min="11014" max="11014" width="9.33203125" style="13" customWidth="1"/>
    <col min="11015" max="11018" width="9.109375" style="13"/>
    <col min="11019" max="11019" width="16.44140625" style="13" customWidth="1"/>
    <col min="11020" max="11269" width="9.109375" style="13"/>
    <col min="11270" max="11270" width="9.33203125" style="13" customWidth="1"/>
    <col min="11271" max="11274" width="9.109375" style="13"/>
    <col min="11275" max="11275" width="16.44140625" style="13" customWidth="1"/>
    <col min="11276" max="11525" width="9.109375" style="13"/>
    <col min="11526" max="11526" width="9.33203125" style="13" customWidth="1"/>
    <col min="11527" max="11530" width="9.109375" style="13"/>
    <col min="11531" max="11531" width="16.44140625" style="13" customWidth="1"/>
    <col min="11532" max="11781" width="9.109375" style="13"/>
    <col min="11782" max="11782" width="9.33203125" style="13" customWidth="1"/>
    <col min="11783" max="11786" width="9.109375" style="13"/>
    <col min="11787" max="11787" width="16.44140625" style="13" customWidth="1"/>
    <col min="11788" max="12037" width="9.109375" style="13"/>
    <col min="12038" max="12038" width="9.33203125" style="13" customWidth="1"/>
    <col min="12039" max="12042" width="9.109375" style="13"/>
    <col min="12043" max="12043" width="16.44140625" style="13" customWidth="1"/>
    <col min="12044" max="12293" width="9.109375" style="13"/>
    <col min="12294" max="12294" width="9.33203125" style="13" customWidth="1"/>
    <col min="12295" max="12298" width="9.109375" style="13"/>
    <col min="12299" max="12299" width="16.44140625" style="13" customWidth="1"/>
    <col min="12300" max="12549" width="9.109375" style="13"/>
    <col min="12550" max="12550" width="9.33203125" style="13" customWidth="1"/>
    <col min="12551" max="12554" width="9.109375" style="13"/>
    <col min="12555" max="12555" width="16.44140625" style="13" customWidth="1"/>
    <col min="12556" max="12805" width="9.109375" style="13"/>
    <col min="12806" max="12806" width="9.33203125" style="13" customWidth="1"/>
    <col min="12807" max="12810" width="9.109375" style="13"/>
    <col min="12811" max="12811" width="16.44140625" style="13" customWidth="1"/>
    <col min="12812" max="13061" width="9.109375" style="13"/>
    <col min="13062" max="13062" width="9.33203125" style="13" customWidth="1"/>
    <col min="13063" max="13066" width="9.109375" style="13"/>
    <col min="13067" max="13067" width="16.44140625" style="13" customWidth="1"/>
    <col min="13068" max="13317" width="9.109375" style="13"/>
    <col min="13318" max="13318" width="9.33203125" style="13" customWidth="1"/>
    <col min="13319" max="13322" width="9.109375" style="13"/>
    <col min="13323" max="13323" width="16.44140625" style="13" customWidth="1"/>
    <col min="13324" max="13573" width="9.109375" style="13"/>
    <col min="13574" max="13574" width="9.33203125" style="13" customWidth="1"/>
    <col min="13575" max="13578" width="9.109375" style="13"/>
    <col min="13579" max="13579" width="16.44140625" style="13" customWidth="1"/>
    <col min="13580" max="13829" width="9.109375" style="13"/>
    <col min="13830" max="13830" width="9.33203125" style="13" customWidth="1"/>
    <col min="13831" max="13834" width="9.109375" style="13"/>
    <col min="13835" max="13835" width="16.44140625" style="13" customWidth="1"/>
    <col min="13836" max="14085" width="9.109375" style="13"/>
    <col min="14086" max="14086" width="9.33203125" style="13" customWidth="1"/>
    <col min="14087" max="14090" width="9.109375" style="13"/>
    <col min="14091" max="14091" width="16.44140625" style="13" customWidth="1"/>
    <col min="14092" max="14341" width="9.109375" style="13"/>
    <col min="14342" max="14342" width="9.33203125" style="13" customWidth="1"/>
    <col min="14343" max="14346" width="9.109375" style="13"/>
    <col min="14347" max="14347" width="16.44140625" style="13" customWidth="1"/>
    <col min="14348" max="14597" width="9.109375" style="13"/>
    <col min="14598" max="14598" width="9.33203125" style="13" customWidth="1"/>
    <col min="14599" max="14602" width="9.109375" style="13"/>
    <col min="14603" max="14603" width="16.44140625" style="13" customWidth="1"/>
    <col min="14604" max="14853" width="9.109375" style="13"/>
    <col min="14854" max="14854" width="9.33203125" style="13" customWidth="1"/>
    <col min="14855" max="14858" width="9.109375" style="13"/>
    <col min="14859" max="14859" width="16.44140625" style="13" customWidth="1"/>
    <col min="14860" max="15109" width="9.109375" style="13"/>
    <col min="15110" max="15110" width="9.33203125" style="13" customWidth="1"/>
    <col min="15111" max="15114" width="9.109375" style="13"/>
    <col min="15115" max="15115" width="16.44140625" style="13" customWidth="1"/>
    <col min="15116" max="15365" width="9.109375" style="13"/>
    <col min="15366" max="15366" width="9.33203125" style="13" customWidth="1"/>
    <col min="15367" max="15370" width="9.109375" style="13"/>
    <col min="15371" max="15371" width="16.44140625" style="13" customWidth="1"/>
    <col min="15372" max="15621" width="9.109375" style="13"/>
    <col min="15622" max="15622" width="9.33203125" style="13" customWidth="1"/>
    <col min="15623" max="15626" width="9.109375" style="13"/>
    <col min="15627" max="15627" width="16.44140625" style="13" customWidth="1"/>
    <col min="15628" max="15877" width="9.109375" style="13"/>
    <col min="15878" max="15878" width="9.33203125" style="13" customWidth="1"/>
    <col min="15879" max="15882" width="9.109375" style="13"/>
    <col min="15883" max="15883" width="16.44140625" style="13" customWidth="1"/>
    <col min="15884" max="16133" width="9.109375" style="13"/>
    <col min="16134" max="16134" width="9.33203125" style="13" customWidth="1"/>
    <col min="16135" max="16138" width="9.109375" style="13"/>
    <col min="16139" max="16139" width="16.44140625" style="13" customWidth="1"/>
    <col min="16140" max="16384" width="9.109375" style="13"/>
  </cols>
  <sheetData>
    <row r="1" spans="1:31" ht="15" x14ac:dyDescent="0.25">
      <c r="B1" s="113">
        <v>0</v>
      </c>
    </row>
    <row r="2" spans="1:31" x14ac:dyDescent="0.25">
      <c r="N2" s="75"/>
      <c r="AA2" s="75"/>
    </row>
    <row r="3" spans="1:31" x14ac:dyDescent="0.25">
      <c r="J3" s="35"/>
      <c r="R3" s="74"/>
      <c r="S3" s="73"/>
      <c r="T3" s="75"/>
      <c r="AE3" s="74"/>
    </row>
    <row r="4" spans="1:31" ht="36" customHeight="1" x14ac:dyDescent="0.25">
      <c r="A4" s="75" t="s">
        <v>220</v>
      </c>
      <c r="I4" s="74"/>
      <c r="Q4" s="93" t="s">
        <v>219</v>
      </c>
      <c r="R4" s="101" t="s">
        <v>218</v>
      </c>
      <c r="S4" s="101" t="s">
        <v>217</v>
      </c>
      <c r="T4" s="101" t="s">
        <v>216</v>
      </c>
      <c r="U4" s="101" t="s">
        <v>215</v>
      </c>
      <c r="V4" s="101" t="s">
        <v>214</v>
      </c>
      <c r="W4" s="39"/>
    </row>
    <row r="5" spans="1:31" ht="16.8" x14ac:dyDescent="0.35">
      <c r="A5" s="13" t="s">
        <v>211</v>
      </c>
      <c r="E5" s="74" t="s">
        <v>173</v>
      </c>
      <c r="F5" s="106">
        <v>40000</v>
      </c>
      <c r="G5" s="75" t="s">
        <v>170</v>
      </c>
      <c r="H5" s="74" t="s">
        <v>213</v>
      </c>
      <c r="I5" s="112">
        <v>100</v>
      </c>
      <c r="Q5" s="101" t="s">
        <v>210</v>
      </c>
      <c r="R5" s="101">
        <v>25</v>
      </c>
      <c r="S5" s="101">
        <v>10</v>
      </c>
      <c r="T5" s="101">
        <v>12.5</v>
      </c>
      <c r="U5" s="101">
        <v>2.5</v>
      </c>
      <c r="V5" s="97">
        <v>0.05</v>
      </c>
      <c r="W5" s="97" t="s">
        <v>174</v>
      </c>
      <c r="AA5" s="75"/>
      <c r="AE5" s="74"/>
    </row>
    <row r="6" spans="1:31" x14ac:dyDescent="0.25">
      <c r="F6" s="85"/>
      <c r="H6" s="13" t="s">
        <v>313</v>
      </c>
      <c r="I6" s="13">
        <v>1</v>
      </c>
      <c r="Q6" s="101" t="s">
        <v>210</v>
      </c>
      <c r="R6" s="97">
        <v>50</v>
      </c>
      <c r="S6" s="97"/>
      <c r="T6" s="97">
        <v>50</v>
      </c>
      <c r="U6" s="97"/>
      <c r="V6" s="97"/>
      <c r="W6" s="97" t="s">
        <v>174</v>
      </c>
      <c r="AE6" s="74"/>
    </row>
    <row r="7" spans="1:31" x14ac:dyDescent="0.25">
      <c r="A7" s="75" t="s">
        <v>212</v>
      </c>
      <c r="E7" s="74"/>
      <c r="F7" s="85"/>
      <c r="I7" s="74"/>
      <c r="Q7" s="101" t="s">
        <v>210</v>
      </c>
      <c r="R7" s="97">
        <v>80</v>
      </c>
      <c r="S7" s="97"/>
      <c r="T7" s="97">
        <v>100</v>
      </c>
      <c r="U7" s="97"/>
      <c r="V7" s="97"/>
      <c r="W7" s="97" t="s">
        <v>174</v>
      </c>
      <c r="AE7" s="74"/>
    </row>
    <row r="8" spans="1:31" ht="16.8" x14ac:dyDescent="0.35">
      <c r="A8" s="13" t="s">
        <v>211</v>
      </c>
      <c r="E8" s="74" t="s">
        <v>171</v>
      </c>
      <c r="F8" s="106">
        <v>1000</v>
      </c>
      <c r="G8" s="13" t="s">
        <v>170</v>
      </c>
      <c r="Q8" s="101" t="s">
        <v>210</v>
      </c>
      <c r="R8" s="97">
        <v>100</v>
      </c>
      <c r="S8" s="97"/>
      <c r="T8" s="97">
        <v>200</v>
      </c>
      <c r="U8" s="97"/>
      <c r="V8" s="97"/>
      <c r="W8" s="97" t="s">
        <v>174</v>
      </c>
      <c r="AA8" s="75"/>
      <c r="AE8" s="74"/>
    </row>
    <row r="9" spans="1:31" ht="44.25" customHeight="1" x14ac:dyDescent="0.25">
      <c r="E9" s="74"/>
      <c r="F9" s="85"/>
      <c r="I9" s="107"/>
      <c r="Q9" s="101" t="s">
        <v>210</v>
      </c>
      <c r="R9" s="97">
        <v>150</v>
      </c>
      <c r="S9" s="97"/>
      <c r="T9" s="97">
        <v>400</v>
      </c>
      <c r="U9" s="97"/>
      <c r="V9" s="101"/>
      <c r="W9" s="97" t="s">
        <v>174</v>
      </c>
      <c r="AE9" s="74"/>
    </row>
    <row r="10" spans="1:31" ht="16.2" thickBot="1" x14ac:dyDescent="0.4">
      <c r="A10" s="75" t="s">
        <v>209</v>
      </c>
      <c r="E10" s="74" t="s">
        <v>180</v>
      </c>
      <c r="F10" s="109">
        <v>7.4</v>
      </c>
      <c r="G10" s="13" t="s">
        <v>153</v>
      </c>
      <c r="Q10" s="101" t="s">
        <v>208</v>
      </c>
      <c r="R10" s="101">
        <v>50</v>
      </c>
      <c r="S10" s="101">
        <v>10</v>
      </c>
      <c r="T10" s="101">
        <v>50</v>
      </c>
      <c r="U10" s="101">
        <v>2.2799999999999998</v>
      </c>
      <c r="V10" s="97">
        <v>7.0000000000000007E-2</v>
      </c>
      <c r="W10" s="39"/>
      <c r="AA10" s="75"/>
      <c r="AE10" s="74"/>
    </row>
    <row r="11" spans="1:31" ht="16.2" thickBot="1" x14ac:dyDescent="0.4">
      <c r="E11" s="74"/>
      <c r="F11" s="85"/>
      <c r="H11" s="74" t="s">
        <v>173</v>
      </c>
      <c r="I11" s="111">
        <f>ROUNDDOWN(I6*(IF(P_2&gt;(0.5*P_1),(I5)*(514*E*SQRT((DPкг*P_1кг)/(gn*T_1)))/1.15,I5*(280*P_1кг*SQRT(1/(gn*T_1)))/1.15)),2)</f>
        <v>124945.62</v>
      </c>
      <c r="J11" s="13" t="s">
        <v>207</v>
      </c>
      <c r="Q11" s="97"/>
      <c r="R11" s="97">
        <v>100</v>
      </c>
      <c r="S11" s="97"/>
      <c r="T11" s="97">
        <v>166</v>
      </c>
      <c r="U11" s="97"/>
      <c r="V11" s="97"/>
      <c r="W11" s="39"/>
      <c r="AE11" s="74"/>
    </row>
    <row r="12" spans="1:31" ht="15.6" x14ac:dyDescent="0.35">
      <c r="A12" s="75" t="s">
        <v>206</v>
      </c>
      <c r="E12" s="74" t="s">
        <v>178</v>
      </c>
      <c r="F12" s="110">
        <v>1.2</v>
      </c>
      <c r="G12" s="13" t="s">
        <v>153</v>
      </c>
      <c r="Q12" s="97"/>
      <c r="R12" s="97">
        <v>150</v>
      </c>
      <c r="S12" s="97"/>
      <c r="T12" s="97">
        <v>344</v>
      </c>
      <c r="U12" s="97"/>
      <c r="V12" s="97"/>
      <c r="W12" s="39"/>
      <c r="AA12" s="75"/>
      <c r="AE12" s="74"/>
    </row>
    <row r="13" spans="1:31" x14ac:dyDescent="0.25">
      <c r="E13" s="74"/>
      <c r="F13" s="85"/>
      <c r="Q13" s="97"/>
      <c r="R13" s="97">
        <v>200</v>
      </c>
      <c r="S13" s="97"/>
      <c r="T13" s="97">
        <v>516</v>
      </c>
      <c r="U13" s="97"/>
      <c r="V13" s="97"/>
      <c r="W13" s="39"/>
      <c r="AE13" s="74"/>
    </row>
    <row r="14" spans="1:31" ht="54.75" customHeight="1" x14ac:dyDescent="0.25">
      <c r="A14" s="75" t="s">
        <v>65</v>
      </c>
      <c r="E14" s="74" t="s">
        <v>205</v>
      </c>
      <c r="F14" s="109">
        <v>37.200000000000003</v>
      </c>
      <c r="G14" s="108" t="s">
        <v>204</v>
      </c>
      <c r="I14" s="107"/>
      <c r="Q14" s="97"/>
      <c r="R14" s="97">
        <v>50</v>
      </c>
      <c r="S14" s="97">
        <v>5</v>
      </c>
      <c r="T14" s="97">
        <v>55</v>
      </c>
      <c r="U14" s="97"/>
      <c r="V14" s="97"/>
      <c r="W14" s="39"/>
      <c r="AE14" s="77"/>
    </row>
    <row r="15" spans="1:31" x14ac:dyDescent="0.25">
      <c r="E15" s="74"/>
      <c r="F15" s="85"/>
      <c r="Q15" s="97"/>
      <c r="R15" s="97">
        <v>75</v>
      </c>
      <c r="S15" s="97"/>
      <c r="T15" s="97">
        <v>103</v>
      </c>
      <c r="U15" s="97"/>
      <c r="V15" s="97"/>
      <c r="W15" s="39"/>
    </row>
    <row r="16" spans="1:31" x14ac:dyDescent="0.25">
      <c r="A16" s="13" t="s">
        <v>203</v>
      </c>
      <c r="E16" s="77" t="s">
        <v>202</v>
      </c>
      <c r="F16" s="106">
        <f>Свх!F8/1.2574</f>
        <v>0.59400441407746152</v>
      </c>
      <c r="Q16" s="97"/>
      <c r="R16" s="97">
        <v>100</v>
      </c>
      <c r="S16" s="97"/>
      <c r="T16" s="97">
        <v>185</v>
      </c>
      <c r="U16" s="97"/>
      <c r="V16" s="97"/>
      <c r="W16" s="39"/>
    </row>
    <row r="17" spans="1:30" x14ac:dyDescent="0.25">
      <c r="Q17" s="97"/>
      <c r="R17" s="97">
        <v>150</v>
      </c>
      <c r="S17" s="97"/>
      <c r="T17" s="97">
        <v>284</v>
      </c>
      <c r="U17" s="97"/>
      <c r="V17" s="97"/>
      <c r="W17" s="39"/>
      <c r="AA17" s="75"/>
    </row>
    <row r="18" spans="1:30" x14ac:dyDescent="0.25">
      <c r="H18" s="91"/>
      <c r="I18" s="91"/>
      <c r="J18" s="91"/>
      <c r="Q18" s="97"/>
      <c r="R18" s="97">
        <v>200</v>
      </c>
      <c r="S18" s="97"/>
      <c r="T18" s="97">
        <v>447</v>
      </c>
      <c r="U18" s="97"/>
      <c r="V18" s="97"/>
      <c r="W18" s="97"/>
      <c r="X18" s="81"/>
    </row>
    <row r="19" spans="1:30" ht="15.6" x14ac:dyDescent="0.35">
      <c r="A19" s="75" t="s">
        <v>201</v>
      </c>
      <c r="H19" s="91"/>
      <c r="I19" s="91"/>
      <c r="J19" s="91"/>
      <c r="Q19" s="97"/>
      <c r="R19" s="97">
        <v>300</v>
      </c>
      <c r="S19" s="97"/>
      <c r="T19" s="97">
        <v>1010</v>
      </c>
      <c r="U19" s="97"/>
      <c r="V19" s="101"/>
      <c r="W19" s="97"/>
    </row>
    <row r="20" spans="1:30" x14ac:dyDescent="0.25">
      <c r="H20" s="91"/>
      <c r="I20" s="91"/>
      <c r="J20" s="91"/>
      <c r="Q20" s="101" t="s">
        <v>200</v>
      </c>
      <c r="R20" s="101">
        <v>25</v>
      </c>
      <c r="S20" s="101">
        <v>6.4</v>
      </c>
      <c r="T20" s="101">
        <v>6</v>
      </c>
      <c r="U20" s="101">
        <v>2.5</v>
      </c>
      <c r="V20" s="39"/>
      <c r="W20" s="97"/>
      <c r="AD20" s="83"/>
    </row>
    <row r="21" spans="1:30" x14ac:dyDescent="0.25">
      <c r="Q21" s="39"/>
      <c r="R21" s="97">
        <v>40</v>
      </c>
      <c r="S21" s="39"/>
      <c r="T21" s="97">
        <v>16</v>
      </c>
      <c r="U21" s="39"/>
      <c r="V21" s="39"/>
      <c r="W21" s="105"/>
    </row>
    <row r="22" spans="1:30" x14ac:dyDescent="0.25">
      <c r="D22" s="83"/>
      <c r="E22" s="103" t="str">
        <f>IF(P_2&gt;(0.5*P_1),(1.15*Qmax)/(514*E*SQRT((DPкг*P_1кг)/(gn*T_1))),"")</f>
        <v/>
      </c>
      <c r="F22" s="13" t="s">
        <v>194</v>
      </c>
      <c r="K22" s="103" t="str">
        <f>IF(P_2&gt;(0.5*P_1),(1.15*Qmin)/(514*E*SQRT((DPкг*P_1кг)/(gn*T_1))),"")</f>
        <v/>
      </c>
      <c r="L22" s="13" t="s">
        <v>194</v>
      </c>
      <c r="Q22" s="39"/>
      <c r="R22" s="97">
        <v>50</v>
      </c>
      <c r="S22" s="39"/>
      <c r="T22" s="97">
        <v>22</v>
      </c>
      <c r="U22" s="97">
        <v>5</v>
      </c>
      <c r="V22" s="97">
        <v>0.15</v>
      </c>
      <c r="W22" s="97"/>
    </row>
    <row r="23" spans="1:30" x14ac:dyDescent="0.25">
      <c r="Q23" s="97"/>
      <c r="R23" s="97">
        <v>80</v>
      </c>
      <c r="S23" s="97"/>
      <c r="T23" s="97">
        <v>66.5</v>
      </c>
      <c r="U23" s="97"/>
      <c r="V23" s="97"/>
      <c r="W23" s="97"/>
    </row>
    <row r="24" spans="1:30" x14ac:dyDescent="0.25">
      <c r="Q24" s="100"/>
      <c r="R24" s="97">
        <v>100</v>
      </c>
      <c r="S24" s="97"/>
      <c r="T24" s="97">
        <v>110</v>
      </c>
      <c r="U24" s="97"/>
      <c r="V24" s="97"/>
      <c r="W24" s="97"/>
    </row>
    <row r="25" spans="1:30" x14ac:dyDescent="0.25">
      <c r="Q25" s="97"/>
      <c r="R25" s="97">
        <v>150</v>
      </c>
      <c r="S25" s="97"/>
      <c r="T25" s="97">
        <v>314</v>
      </c>
      <c r="U25" s="97"/>
      <c r="V25" s="97"/>
      <c r="W25" s="97"/>
      <c r="AA25" s="75"/>
    </row>
    <row r="26" spans="1:30" x14ac:dyDescent="0.25">
      <c r="Q26" s="104"/>
      <c r="R26" s="97">
        <v>200</v>
      </c>
      <c r="S26" s="97"/>
      <c r="T26" s="97">
        <v>424</v>
      </c>
      <c r="U26" s="97"/>
      <c r="V26" s="101"/>
      <c r="W26" s="97"/>
      <c r="AA26" s="75"/>
    </row>
    <row r="27" spans="1:30" x14ac:dyDescent="0.25">
      <c r="Q27" s="101" t="s">
        <v>199</v>
      </c>
      <c r="R27" s="97">
        <v>15</v>
      </c>
      <c r="S27" s="97">
        <v>10</v>
      </c>
      <c r="T27" s="97">
        <v>2</v>
      </c>
      <c r="U27" s="97"/>
      <c r="V27" s="101"/>
      <c r="W27" s="97" t="s">
        <v>174</v>
      </c>
    </row>
    <row r="28" spans="1:30" ht="15.6" x14ac:dyDescent="0.35">
      <c r="A28" s="75" t="s">
        <v>198</v>
      </c>
      <c r="Q28" s="101" t="s">
        <v>197</v>
      </c>
      <c r="R28" s="101">
        <v>25</v>
      </c>
      <c r="S28" s="101">
        <v>10</v>
      </c>
      <c r="T28" s="101">
        <v>15</v>
      </c>
      <c r="U28" s="101"/>
      <c r="V28" s="97"/>
      <c r="W28" s="97" t="s">
        <v>174</v>
      </c>
    </row>
    <row r="29" spans="1:30" x14ac:dyDescent="0.25">
      <c r="Q29" s="101" t="s">
        <v>196</v>
      </c>
      <c r="R29" s="97">
        <v>50</v>
      </c>
      <c r="S29" s="97">
        <v>10</v>
      </c>
      <c r="T29" s="97">
        <v>60</v>
      </c>
      <c r="U29" s="97"/>
      <c r="V29" s="97"/>
      <c r="W29" s="97" t="s">
        <v>174</v>
      </c>
      <c r="AD29" s="81"/>
    </row>
    <row r="30" spans="1:30" x14ac:dyDescent="0.25">
      <c r="Q30" s="101" t="s">
        <v>195</v>
      </c>
      <c r="R30" s="97">
        <v>80</v>
      </c>
      <c r="S30" s="97">
        <v>10</v>
      </c>
      <c r="T30" s="97">
        <v>110</v>
      </c>
      <c r="U30" s="97" t="s">
        <v>99</v>
      </c>
      <c r="V30" s="97" t="s">
        <v>99</v>
      </c>
      <c r="W30" s="97" t="s">
        <v>174</v>
      </c>
    </row>
    <row r="31" spans="1:30" x14ac:dyDescent="0.25">
      <c r="E31" s="103">
        <f>IF(P_2&gt;(0.5*P_1),"",1.15*Qmax/(280*P_1кг*SQRT(1/(gn*T_1))))</f>
        <v>32.013925025712076</v>
      </c>
      <c r="F31" s="13" t="s">
        <v>194</v>
      </c>
      <c r="K31" s="103">
        <f>IF(P_2&gt;(0.5*P_1),"",1.15*Qmin/(280*P_1кг*SQRT(1/(gn*T_1))))</f>
        <v>0.80034812564280189</v>
      </c>
      <c r="L31" s="13" t="s">
        <v>194</v>
      </c>
      <c r="Q31" s="101" t="s">
        <v>193</v>
      </c>
      <c r="R31" s="97">
        <v>100</v>
      </c>
      <c r="S31" s="97">
        <v>10</v>
      </c>
      <c r="T31" s="97">
        <v>230</v>
      </c>
      <c r="U31" s="99"/>
      <c r="V31" s="97"/>
      <c r="W31" s="97" t="s">
        <v>174</v>
      </c>
    </row>
    <row r="32" spans="1:30" x14ac:dyDescent="0.25">
      <c r="Q32" s="101" t="s">
        <v>192</v>
      </c>
      <c r="R32" s="97">
        <v>150</v>
      </c>
      <c r="S32" s="97">
        <v>10</v>
      </c>
      <c r="T32" s="97">
        <v>450</v>
      </c>
      <c r="U32" s="99"/>
      <c r="V32" s="101"/>
      <c r="W32" s="97" t="s">
        <v>174</v>
      </c>
    </row>
    <row r="33" spans="1:31" x14ac:dyDescent="0.25">
      <c r="Q33" s="101" t="s">
        <v>191</v>
      </c>
      <c r="R33" s="101" t="s">
        <v>190</v>
      </c>
      <c r="S33" s="101">
        <v>7.5</v>
      </c>
      <c r="T33" s="101">
        <v>25</v>
      </c>
      <c r="U33" s="101" t="s">
        <v>187</v>
      </c>
      <c r="V33" s="97">
        <v>0.16</v>
      </c>
      <c r="W33" s="97"/>
    </row>
    <row r="34" spans="1:31" x14ac:dyDescent="0.25">
      <c r="Q34" s="97" t="s">
        <v>189</v>
      </c>
      <c r="R34" s="97" t="s">
        <v>188</v>
      </c>
      <c r="S34" s="97">
        <v>7.5</v>
      </c>
      <c r="T34" s="97">
        <v>100</v>
      </c>
      <c r="U34" s="97" t="s">
        <v>187</v>
      </c>
      <c r="V34" s="97">
        <v>0.16</v>
      </c>
      <c r="W34" s="97"/>
    </row>
    <row r="35" spans="1:31" ht="15.6" x14ac:dyDescent="0.25">
      <c r="Q35" s="97" t="s">
        <v>186</v>
      </c>
      <c r="R35" s="97" t="s">
        <v>185</v>
      </c>
      <c r="S35" s="97">
        <v>7.5</v>
      </c>
      <c r="T35" s="97">
        <v>200</v>
      </c>
      <c r="U35" s="97" t="s">
        <v>184</v>
      </c>
      <c r="V35" s="101">
        <v>0.16</v>
      </c>
      <c r="W35" s="97"/>
      <c r="AA35" s="74"/>
      <c r="AB35" s="78"/>
      <c r="AC35" s="79"/>
      <c r="AE35" s="80"/>
    </row>
    <row r="36" spans="1:31" x14ac:dyDescent="0.25">
      <c r="A36" s="224" t="s">
        <v>183</v>
      </c>
      <c r="B36" s="224"/>
      <c r="C36" s="224"/>
      <c r="D36" s="224"/>
      <c r="E36" s="224"/>
      <c r="F36" s="224"/>
      <c r="G36" s="224"/>
      <c r="H36" s="224"/>
      <c r="I36" s="224"/>
      <c r="J36" s="224"/>
      <c r="Q36" s="97" t="s">
        <v>175</v>
      </c>
      <c r="R36" s="97">
        <v>25</v>
      </c>
      <c r="S36" s="97"/>
      <c r="T36" s="97">
        <v>8</v>
      </c>
      <c r="U36" s="102"/>
      <c r="V36" s="100"/>
      <c r="W36" s="97" t="s">
        <v>174</v>
      </c>
      <c r="AB36" s="74"/>
      <c r="AC36" s="79"/>
      <c r="AD36" s="75"/>
      <c r="AE36" s="75"/>
    </row>
    <row r="37" spans="1:31" ht="16.8" x14ac:dyDescent="0.35">
      <c r="A37" s="96" t="s">
        <v>182</v>
      </c>
      <c r="B37" s="100">
        <f>P_1кг-P_2кг</f>
        <v>63.228530000000006</v>
      </c>
      <c r="C37" s="39" t="s">
        <v>177</v>
      </c>
      <c r="D37" s="223" t="s">
        <v>181</v>
      </c>
      <c r="E37" s="223"/>
      <c r="F37" s="223"/>
      <c r="G37" s="223"/>
      <c r="H37" s="223"/>
      <c r="I37" s="223"/>
      <c r="J37" s="223"/>
      <c r="Q37" s="97" t="s">
        <v>175</v>
      </c>
      <c r="R37" s="97">
        <v>50</v>
      </c>
      <c r="S37" s="97"/>
      <c r="T37" s="97">
        <v>30</v>
      </c>
      <c r="U37" s="101"/>
      <c r="V37" s="100"/>
      <c r="W37" s="97" t="s">
        <v>174</v>
      </c>
      <c r="AB37" s="74"/>
      <c r="AC37" s="79"/>
      <c r="AD37" s="75"/>
      <c r="AE37" s="75"/>
    </row>
    <row r="38" spans="1:31" ht="16.8" x14ac:dyDescent="0.35">
      <c r="A38" s="93" t="s">
        <v>180</v>
      </c>
      <c r="B38" s="100">
        <f>10.19815*P_1+1</f>
        <v>76.466310000000007</v>
      </c>
      <c r="C38" s="99" t="s">
        <v>177</v>
      </c>
      <c r="D38" s="222" t="s">
        <v>179</v>
      </c>
      <c r="E38" s="222"/>
      <c r="F38" s="222"/>
      <c r="G38" s="222"/>
      <c r="H38" s="222"/>
      <c r="I38" s="222"/>
      <c r="J38" s="222"/>
      <c r="Q38" s="97" t="s">
        <v>175</v>
      </c>
      <c r="R38" s="97">
        <v>100</v>
      </c>
      <c r="S38" s="97"/>
      <c r="T38" s="97">
        <v>130</v>
      </c>
      <c r="U38" s="101"/>
      <c r="V38" s="100"/>
      <c r="W38" s="97" t="s">
        <v>174</v>
      </c>
      <c r="AB38" s="74"/>
      <c r="AC38" s="75"/>
      <c r="AE38" s="75"/>
    </row>
    <row r="39" spans="1:31" ht="16.8" x14ac:dyDescent="0.35">
      <c r="A39" s="93" t="s">
        <v>178</v>
      </c>
      <c r="B39" s="100">
        <f>10.19815*P_2+1</f>
        <v>13.237779999999999</v>
      </c>
      <c r="C39" s="99" t="s">
        <v>177</v>
      </c>
      <c r="D39" s="222" t="s">
        <v>176</v>
      </c>
      <c r="E39" s="222"/>
      <c r="F39" s="222"/>
      <c r="G39" s="222"/>
      <c r="H39" s="222"/>
      <c r="I39" s="222"/>
      <c r="J39" s="222"/>
      <c r="K39" s="91"/>
      <c r="L39" s="91"/>
      <c r="M39" s="91"/>
      <c r="N39" s="91"/>
      <c r="O39" s="91"/>
      <c r="P39" s="91"/>
      <c r="Q39" s="97" t="s">
        <v>175</v>
      </c>
      <c r="R39" s="97">
        <v>200</v>
      </c>
      <c r="S39" s="97"/>
      <c r="T39" s="97">
        <v>550</v>
      </c>
      <c r="U39" s="97"/>
      <c r="V39" s="97"/>
      <c r="W39" s="97" t="s">
        <v>174</v>
      </c>
      <c r="AB39" s="74"/>
      <c r="AC39" s="75"/>
      <c r="AE39" s="75"/>
    </row>
    <row r="40" spans="1:31" ht="16.8" x14ac:dyDescent="0.35">
      <c r="A40" s="93" t="s">
        <v>173</v>
      </c>
      <c r="B40" s="97">
        <f>Qmax</f>
        <v>40000</v>
      </c>
      <c r="C40" s="39" t="s">
        <v>170</v>
      </c>
      <c r="D40" s="222" t="s">
        <v>172</v>
      </c>
      <c r="E40" s="222"/>
      <c r="F40" s="222"/>
      <c r="G40" s="222"/>
      <c r="H40" s="222"/>
      <c r="I40" s="222"/>
      <c r="J40" s="222"/>
      <c r="K40" s="91"/>
      <c r="L40" s="91"/>
      <c r="M40" s="91"/>
      <c r="N40" s="91"/>
      <c r="O40" s="91"/>
      <c r="P40" s="91"/>
      <c r="Q40" s="98"/>
      <c r="R40" s="75"/>
      <c r="AB40" s="74"/>
      <c r="AC40" s="75"/>
      <c r="AD40" s="78"/>
      <c r="AE40" s="75"/>
    </row>
    <row r="41" spans="1:31" ht="16.8" x14ac:dyDescent="0.35">
      <c r="A41" s="93" t="s">
        <v>171</v>
      </c>
      <c r="B41" s="97">
        <f>Qmin</f>
        <v>1000</v>
      </c>
      <c r="C41" s="39" t="s">
        <v>170</v>
      </c>
      <c r="D41" s="222" t="s">
        <v>169</v>
      </c>
      <c r="E41" s="222"/>
      <c r="F41" s="222"/>
      <c r="G41" s="222"/>
      <c r="H41" s="222"/>
      <c r="I41" s="222"/>
      <c r="J41" s="222"/>
      <c r="K41" s="91"/>
      <c r="L41" s="91"/>
      <c r="M41" s="91"/>
      <c r="N41" s="91"/>
      <c r="O41" s="98"/>
      <c r="P41" s="95"/>
      <c r="Q41" s="91"/>
      <c r="R41" s="75"/>
      <c r="AB41" s="77"/>
      <c r="AC41" s="76"/>
      <c r="AE41" s="75"/>
    </row>
    <row r="42" spans="1:31" ht="15.6" x14ac:dyDescent="0.35">
      <c r="A42" s="93" t="s">
        <v>168</v>
      </c>
      <c r="B42" s="97">
        <f>273+t</f>
        <v>310.2</v>
      </c>
      <c r="C42" s="96" t="s">
        <v>167</v>
      </c>
      <c r="D42" s="222" t="s">
        <v>166</v>
      </c>
      <c r="E42" s="222"/>
      <c r="F42" s="222"/>
      <c r="G42" s="222"/>
      <c r="H42" s="222"/>
      <c r="I42" s="222"/>
      <c r="J42" s="222"/>
      <c r="K42" s="91"/>
      <c r="L42" s="91"/>
      <c r="M42" s="91"/>
      <c r="N42" s="91"/>
      <c r="O42" s="91"/>
      <c r="P42" s="95"/>
      <c r="Q42" s="91"/>
      <c r="R42" s="75"/>
      <c r="AB42" s="74"/>
      <c r="AC42" s="76"/>
      <c r="AE42" s="75"/>
    </row>
    <row r="43" spans="1:31" ht="16.8" x14ac:dyDescent="0.35">
      <c r="A43" s="94" t="s">
        <v>165</v>
      </c>
      <c r="B43" s="92">
        <f>1.205*D</f>
        <v>0.71577531896334112</v>
      </c>
      <c r="C43" s="39" t="s">
        <v>164</v>
      </c>
      <c r="D43" s="222" t="s">
        <v>163</v>
      </c>
      <c r="E43" s="222"/>
      <c r="F43" s="222"/>
      <c r="G43" s="222"/>
      <c r="H43" s="222"/>
      <c r="I43" s="222"/>
      <c r="J43" s="222"/>
      <c r="K43" s="91"/>
      <c r="L43" s="91"/>
      <c r="M43" s="91"/>
      <c r="N43" s="91"/>
      <c r="O43" s="91"/>
      <c r="P43" s="91"/>
      <c r="Q43" s="91"/>
    </row>
    <row r="44" spans="1:31" x14ac:dyDescent="0.25">
      <c r="A44" s="93" t="s">
        <v>162</v>
      </c>
      <c r="B44" s="92">
        <f>IF(((P_1кг-P_2кг)/P_1кг)&lt;0.08,1,(1-0.46*(P_1кг-P_2кг)/P_1кг))</f>
        <v>0.61963479341424998</v>
      </c>
      <c r="C44" s="39"/>
      <c r="D44" s="222" t="s">
        <v>161</v>
      </c>
      <c r="E44" s="222"/>
      <c r="F44" s="222"/>
      <c r="G44" s="222"/>
      <c r="H44" s="222"/>
      <c r="I44" s="222"/>
      <c r="J44" s="222"/>
      <c r="K44" s="91"/>
      <c r="L44" s="91"/>
      <c r="M44" s="91"/>
      <c r="N44" s="91"/>
      <c r="O44" s="91"/>
      <c r="P44" s="91"/>
      <c r="Q44" s="91"/>
      <c r="S44" s="74"/>
    </row>
    <row r="45" spans="1:31" x14ac:dyDescent="0.25">
      <c r="K45" s="91"/>
      <c r="L45" s="91"/>
      <c r="M45" s="91"/>
      <c r="N45" s="91"/>
      <c r="O45" s="91"/>
      <c r="P45" s="91"/>
      <c r="Q45" s="91"/>
    </row>
    <row r="46" spans="1:31" x14ac:dyDescent="0.25">
      <c r="K46" s="91"/>
      <c r="L46" s="91"/>
      <c r="M46" s="91"/>
      <c r="N46" s="91"/>
      <c r="O46" s="91"/>
      <c r="Q46" s="83"/>
    </row>
    <row r="47" spans="1:31" x14ac:dyDescent="0.25">
      <c r="D47" s="91"/>
    </row>
    <row r="48" spans="1:31" x14ac:dyDescent="0.25">
      <c r="D48" s="91"/>
    </row>
    <row r="49" spans="1:17" x14ac:dyDescent="0.25">
      <c r="D49" s="91"/>
    </row>
    <row r="50" spans="1:17" x14ac:dyDescent="0.25">
      <c r="D50" s="91"/>
    </row>
    <row r="51" spans="1:17" x14ac:dyDescent="0.25">
      <c r="D51" s="91"/>
    </row>
    <row r="52" spans="1:17" x14ac:dyDescent="0.25">
      <c r="D52" s="91"/>
    </row>
    <row r="53" spans="1:17" x14ac:dyDescent="0.25">
      <c r="D53" s="91"/>
    </row>
    <row r="54" spans="1:17" x14ac:dyDescent="0.25">
      <c r="D54" s="91"/>
    </row>
    <row r="55" spans="1:17" x14ac:dyDescent="0.25">
      <c r="D55" s="91"/>
    </row>
    <row r="56" spans="1:17" x14ac:dyDescent="0.25">
      <c r="A56" s="75"/>
      <c r="D56" s="91"/>
      <c r="E56" s="76"/>
    </row>
    <row r="57" spans="1:17" x14ac:dyDescent="0.25">
      <c r="D57" s="91"/>
      <c r="G57" s="73"/>
      <c r="H57" s="73"/>
      <c r="I57" s="73"/>
      <c r="J57" s="73"/>
      <c r="K57" s="73"/>
    </row>
    <row r="58" spans="1:17" x14ac:dyDescent="0.25">
      <c r="G58" s="73"/>
      <c r="H58" s="73"/>
      <c r="I58" s="73"/>
      <c r="J58" s="73"/>
      <c r="K58" s="73"/>
      <c r="N58" s="75"/>
    </row>
    <row r="59" spans="1:17" x14ac:dyDescent="0.25">
      <c r="A59" s="75"/>
      <c r="G59" s="73"/>
      <c r="H59" s="73"/>
      <c r="I59" s="73"/>
      <c r="J59" s="73"/>
      <c r="K59" s="73"/>
    </row>
    <row r="60" spans="1:17" x14ac:dyDescent="0.25">
      <c r="G60" s="73"/>
      <c r="H60" s="73"/>
      <c r="I60" s="73"/>
      <c r="J60" s="73"/>
      <c r="K60" s="73"/>
      <c r="Q60" s="81"/>
    </row>
    <row r="61" spans="1:17" x14ac:dyDescent="0.25">
      <c r="A61" s="75"/>
      <c r="B61" s="90"/>
      <c r="G61" s="86"/>
      <c r="H61" s="73"/>
      <c r="I61" s="73"/>
      <c r="J61" s="73"/>
      <c r="K61" s="73"/>
    </row>
    <row r="62" spans="1:17" x14ac:dyDescent="0.25">
      <c r="F62" s="73"/>
      <c r="G62" s="73"/>
      <c r="H62" s="73"/>
      <c r="I62" s="73"/>
      <c r="J62" s="73"/>
      <c r="K62" s="73"/>
    </row>
    <row r="63" spans="1:17" x14ac:dyDescent="0.25">
      <c r="A63" s="75"/>
      <c r="F63" s="73"/>
      <c r="G63" s="73"/>
      <c r="H63" s="73"/>
      <c r="I63" s="73"/>
      <c r="J63" s="73"/>
      <c r="K63" s="73"/>
      <c r="N63" s="75"/>
    </row>
    <row r="64" spans="1:17" x14ac:dyDescent="0.25">
      <c r="F64" s="73"/>
      <c r="G64" s="73"/>
      <c r="H64" s="73"/>
      <c r="J64" s="73"/>
      <c r="K64" s="73"/>
    </row>
    <row r="65" spans="1:20" x14ac:dyDescent="0.25">
      <c r="F65" s="73"/>
      <c r="G65" s="73"/>
      <c r="H65" s="73"/>
      <c r="I65" s="73"/>
      <c r="J65" s="73"/>
      <c r="K65" s="73"/>
    </row>
    <row r="66" spans="1:20" ht="15.6" x14ac:dyDescent="0.25">
      <c r="F66" s="73"/>
      <c r="G66" s="73"/>
      <c r="H66" s="73"/>
      <c r="I66" s="73"/>
      <c r="J66" s="73"/>
      <c r="K66" s="73"/>
      <c r="P66" s="79"/>
      <c r="R66" s="80"/>
    </row>
    <row r="67" spans="1:20" x14ac:dyDescent="0.25">
      <c r="F67" s="73"/>
      <c r="G67" s="73"/>
      <c r="H67" s="73"/>
      <c r="I67" s="73"/>
      <c r="J67" s="73"/>
      <c r="K67" s="73"/>
      <c r="P67" s="79"/>
      <c r="Q67" s="75"/>
      <c r="R67" s="75"/>
      <c r="S67" s="84"/>
    </row>
    <row r="68" spans="1:20" x14ac:dyDescent="0.25">
      <c r="A68" s="75"/>
      <c r="F68" s="73"/>
      <c r="G68" s="73"/>
      <c r="H68" s="73"/>
      <c r="I68" s="73"/>
      <c r="J68" s="73"/>
      <c r="K68" s="73"/>
      <c r="P68" s="79"/>
      <c r="Q68" s="75"/>
      <c r="R68" s="75"/>
      <c r="S68" s="85"/>
    </row>
    <row r="69" spans="1:20" ht="15.6" x14ac:dyDescent="0.25">
      <c r="E69" s="80"/>
      <c r="F69" s="73"/>
      <c r="G69" s="73"/>
      <c r="H69" s="73"/>
      <c r="I69" s="73"/>
      <c r="J69" s="73"/>
      <c r="K69" s="73"/>
      <c r="P69" s="75"/>
      <c r="R69" s="75"/>
      <c r="S69" s="84"/>
    </row>
    <row r="70" spans="1:20" x14ac:dyDescent="0.25">
      <c r="E70" s="75"/>
      <c r="F70" s="73"/>
      <c r="G70" s="89"/>
      <c r="H70" s="73"/>
      <c r="I70" s="73"/>
      <c r="J70" s="73"/>
      <c r="K70" s="87"/>
      <c r="P70" s="75"/>
      <c r="R70" s="75"/>
      <c r="S70" s="85"/>
    </row>
    <row r="71" spans="1:20" x14ac:dyDescent="0.25">
      <c r="E71" s="75"/>
      <c r="F71" s="73"/>
      <c r="G71" s="73"/>
      <c r="H71" s="73"/>
      <c r="I71" s="73"/>
      <c r="J71" s="73"/>
      <c r="K71" s="73"/>
      <c r="N71" s="75"/>
      <c r="P71" s="75"/>
      <c r="Q71" s="78"/>
      <c r="R71" s="75"/>
      <c r="S71" s="84"/>
    </row>
    <row r="72" spans="1:20" x14ac:dyDescent="0.25">
      <c r="E72" s="75"/>
      <c r="F72" s="73"/>
      <c r="G72" s="73"/>
      <c r="H72" s="73"/>
      <c r="I72" s="73"/>
      <c r="J72" s="88"/>
      <c r="K72" s="73"/>
      <c r="P72" s="76"/>
      <c r="R72" s="75"/>
      <c r="S72" s="85"/>
    </row>
    <row r="73" spans="1:20" x14ac:dyDescent="0.25">
      <c r="E73" s="75"/>
      <c r="F73" s="73"/>
      <c r="G73" s="73"/>
      <c r="H73" s="73"/>
      <c r="I73" s="73"/>
      <c r="J73" s="73"/>
      <c r="K73" s="73"/>
      <c r="P73" s="76"/>
      <c r="R73" s="75"/>
      <c r="S73" s="84"/>
    </row>
    <row r="74" spans="1:20" x14ac:dyDescent="0.25">
      <c r="D74" s="81"/>
      <c r="E74" s="75"/>
      <c r="F74" s="73"/>
      <c r="G74" s="73"/>
      <c r="H74" s="73"/>
      <c r="I74" s="73"/>
      <c r="J74" s="73"/>
      <c r="K74" s="73"/>
    </row>
    <row r="75" spans="1:20" x14ac:dyDescent="0.25">
      <c r="E75" s="75"/>
      <c r="F75" s="73"/>
      <c r="G75" s="73"/>
      <c r="H75" s="73"/>
      <c r="I75" s="73"/>
      <c r="J75" s="73"/>
      <c r="K75" s="73"/>
    </row>
    <row r="76" spans="1:20" x14ac:dyDescent="0.25">
      <c r="A76" s="75"/>
      <c r="E76" s="75"/>
      <c r="F76" s="73"/>
      <c r="G76" s="73"/>
      <c r="H76" s="73"/>
      <c r="I76" s="73"/>
      <c r="J76" s="73"/>
      <c r="K76" s="73"/>
    </row>
    <row r="77" spans="1:20" x14ac:dyDescent="0.25">
      <c r="F77" s="73"/>
      <c r="G77" s="73"/>
      <c r="H77" s="73"/>
      <c r="I77" s="73"/>
      <c r="J77" s="73"/>
      <c r="K77" s="73"/>
      <c r="T77" s="78"/>
    </row>
    <row r="78" spans="1:20" x14ac:dyDescent="0.25">
      <c r="F78" s="82"/>
      <c r="G78" s="73"/>
      <c r="H78" s="73"/>
      <c r="I78" s="73"/>
      <c r="J78" s="73"/>
      <c r="K78" s="73"/>
    </row>
    <row r="79" spans="1:20" x14ac:dyDescent="0.25">
      <c r="F79" s="73"/>
      <c r="G79" s="73"/>
      <c r="H79" s="73"/>
      <c r="I79" s="73"/>
      <c r="J79" s="73"/>
      <c r="K79" s="73"/>
    </row>
    <row r="80" spans="1:20" x14ac:dyDescent="0.25">
      <c r="F80" s="73"/>
      <c r="G80" s="73"/>
      <c r="H80" s="73"/>
      <c r="I80" s="73"/>
      <c r="J80" s="87"/>
      <c r="K80" s="73"/>
      <c r="N80" s="74"/>
      <c r="O80" s="78"/>
    </row>
    <row r="81" spans="1:31" x14ac:dyDescent="0.25">
      <c r="D81" s="75"/>
      <c r="F81" s="73"/>
      <c r="G81" s="73"/>
      <c r="H81" s="73"/>
      <c r="I81" s="73"/>
      <c r="J81" s="73"/>
      <c r="K81" s="73"/>
      <c r="O81" s="74"/>
    </row>
    <row r="82" spans="1:31" x14ac:dyDescent="0.25">
      <c r="D82" s="75"/>
      <c r="F82" s="73"/>
      <c r="G82" s="73"/>
      <c r="H82" s="73"/>
      <c r="I82" s="73"/>
      <c r="J82" s="73"/>
      <c r="K82" s="73"/>
      <c r="O82" s="74"/>
    </row>
    <row r="83" spans="1:31" x14ac:dyDescent="0.25">
      <c r="F83" s="73"/>
      <c r="G83" s="73"/>
      <c r="H83" s="73"/>
      <c r="I83" s="73"/>
      <c r="J83" s="73"/>
      <c r="K83" s="73"/>
      <c r="O83" s="74"/>
    </row>
    <row r="84" spans="1:31" x14ac:dyDescent="0.25">
      <c r="F84" s="73"/>
      <c r="G84" s="73"/>
      <c r="H84" s="73"/>
      <c r="I84" s="73"/>
      <c r="J84" s="73"/>
      <c r="K84" s="73"/>
      <c r="O84" s="74"/>
      <c r="AB84" s="74"/>
    </row>
    <row r="85" spans="1:31" ht="15.6" x14ac:dyDescent="0.25">
      <c r="A85" s="74"/>
      <c r="B85" s="78"/>
      <c r="C85" s="79"/>
      <c r="D85" s="78"/>
      <c r="F85" s="73"/>
      <c r="G85" s="73"/>
      <c r="H85" s="73"/>
      <c r="I85" s="73"/>
      <c r="J85" s="73"/>
      <c r="K85" s="73"/>
      <c r="O85" s="74"/>
      <c r="R85" s="74"/>
      <c r="AB85" s="74"/>
      <c r="AC85" s="79"/>
      <c r="AE85" s="80"/>
    </row>
    <row r="86" spans="1:31" x14ac:dyDescent="0.25">
      <c r="B86" s="74"/>
      <c r="C86" s="79"/>
      <c r="F86" s="73"/>
      <c r="G86" s="73"/>
      <c r="H86" s="73"/>
      <c r="I86" s="73"/>
      <c r="J86" s="73"/>
      <c r="K86" s="73"/>
      <c r="O86" s="77"/>
      <c r="AB86" s="77"/>
      <c r="AC86" s="79"/>
      <c r="AD86" s="75"/>
      <c r="AE86" s="75"/>
    </row>
    <row r="87" spans="1:31" x14ac:dyDescent="0.25">
      <c r="B87" s="74"/>
      <c r="C87" s="79"/>
      <c r="F87" s="73"/>
      <c r="G87" s="73"/>
      <c r="H87" s="73"/>
      <c r="I87" s="73"/>
      <c r="J87" s="73"/>
      <c r="K87" s="73"/>
      <c r="O87" s="74"/>
      <c r="R87" s="74"/>
      <c r="AB87" s="74"/>
      <c r="AC87" s="79"/>
      <c r="AD87" s="75"/>
      <c r="AE87" s="75"/>
    </row>
    <row r="88" spans="1:31" x14ac:dyDescent="0.25">
      <c r="B88" s="74"/>
      <c r="C88" s="75"/>
      <c r="E88" s="74"/>
      <c r="F88" s="73"/>
      <c r="G88" s="73"/>
      <c r="H88" s="73"/>
      <c r="I88" s="73"/>
      <c r="J88" s="73"/>
      <c r="K88" s="73"/>
      <c r="R88" s="74"/>
      <c r="AC88" s="75"/>
      <c r="AE88" s="75"/>
    </row>
    <row r="89" spans="1:31" x14ac:dyDescent="0.25">
      <c r="B89" s="74"/>
      <c r="C89" s="75"/>
      <c r="F89" s="73"/>
      <c r="G89" s="73"/>
      <c r="H89" s="73"/>
      <c r="I89" s="73"/>
      <c r="J89" s="73"/>
      <c r="K89" s="73"/>
      <c r="AC89" s="75"/>
      <c r="AE89" s="75"/>
    </row>
    <row r="90" spans="1:31" x14ac:dyDescent="0.25">
      <c r="B90" s="74"/>
      <c r="C90" s="75"/>
      <c r="E90" s="74"/>
      <c r="F90" s="73"/>
      <c r="G90" s="73"/>
      <c r="H90" s="73"/>
      <c r="I90" s="73"/>
      <c r="J90" s="73"/>
      <c r="K90" s="73"/>
      <c r="AC90" s="75"/>
      <c r="AD90" s="78"/>
      <c r="AE90" s="75"/>
    </row>
    <row r="91" spans="1:31" x14ac:dyDescent="0.25">
      <c r="B91" s="77"/>
      <c r="C91" s="76"/>
      <c r="E91" s="74"/>
      <c r="F91" s="73"/>
      <c r="G91" s="73"/>
      <c r="H91" s="73"/>
      <c r="I91" s="73"/>
      <c r="J91" s="73"/>
      <c r="K91" s="73"/>
      <c r="AC91" s="76"/>
      <c r="AE91" s="75"/>
    </row>
    <row r="92" spans="1:31" x14ac:dyDescent="0.25">
      <c r="B92" s="74"/>
      <c r="C92" s="76"/>
      <c r="E92" s="74"/>
      <c r="F92" s="73"/>
      <c r="G92" s="73"/>
      <c r="H92" s="73"/>
      <c r="I92" s="73"/>
      <c r="J92" s="73"/>
      <c r="K92" s="73"/>
      <c r="AC92" s="76"/>
      <c r="AE92" s="75"/>
    </row>
    <row r="93" spans="1:31" x14ac:dyDescent="0.25">
      <c r="E93" s="74"/>
      <c r="F93" s="73"/>
      <c r="G93" s="73"/>
      <c r="H93" s="73"/>
      <c r="I93" s="73"/>
      <c r="J93" s="73"/>
      <c r="K93" s="73"/>
    </row>
    <row r="94" spans="1:31" x14ac:dyDescent="0.25">
      <c r="E94" s="74"/>
      <c r="F94" s="73"/>
      <c r="G94" s="73"/>
      <c r="H94" s="73"/>
      <c r="I94" s="73"/>
      <c r="J94" s="73"/>
      <c r="K94" s="73"/>
    </row>
    <row r="95" spans="1:31" x14ac:dyDescent="0.25">
      <c r="E95" s="74"/>
      <c r="F95" s="73"/>
      <c r="G95" s="73"/>
      <c r="H95" s="73"/>
      <c r="I95" s="73"/>
      <c r="J95" s="73"/>
      <c r="K95" s="73"/>
    </row>
    <row r="96" spans="1:31" x14ac:dyDescent="0.25">
      <c r="E96" s="74"/>
      <c r="F96" s="73"/>
      <c r="G96" s="73"/>
      <c r="H96" s="73"/>
      <c r="I96" s="73"/>
      <c r="J96" s="73"/>
      <c r="K96" s="73"/>
    </row>
    <row r="97" spans="1:31" x14ac:dyDescent="0.25">
      <c r="E97" s="74"/>
      <c r="F97" s="73"/>
      <c r="G97" s="73"/>
      <c r="H97" s="73"/>
      <c r="I97" s="73"/>
      <c r="J97" s="73"/>
      <c r="K97" s="73"/>
    </row>
    <row r="98" spans="1:31" x14ac:dyDescent="0.25">
      <c r="E98" s="74"/>
      <c r="F98" s="73"/>
      <c r="G98" s="73"/>
      <c r="H98" s="73"/>
      <c r="I98" s="73"/>
      <c r="J98" s="73"/>
      <c r="K98" s="73"/>
      <c r="N98" s="75"/>
      <c r="AA98" s="75"/>
    </row>
    <row r="99" spans="1:31" x14ac:dyDescent="0.25">
      <c r="E99" s="77"/>
      <c r="F99" s="73"/>
      <c r="G99" s="73"/>
      <c r="H99" s="73"/>
      <c r="I99" s="73"/>
      <c r="J99" s="73"/>
      <c r="K99" s="73"/>
      <c r="W99" s="83"/>
    </row>
    <row r="100" spans="1:31" x14ac:dyDescent="0.25">
      <c r="F100" s="73"/>
      <c r="G100" s="73"/>
      <c r="H100" s="73"/>
      <c r="I100" s="73"/>
      <c r="J100" s="73"/>
      <c r="K100" s="73"/>
    </row>
    <row r="101" spans="1:31" x14ac:dyDescent="0.25">
      <c r="F101" s="73"/>
      <c r="G101" s="73"/>
      <c r="H101" s="73"/>
      <c r="I101" s="73"/>
      <c r="J101" s="73"/>
      <c r="K101" s="73"/>
      <c r="N101" s="75"/>
      <c r="AA101" s="75"/>
    </row>
    <row r="102" spans="1:31" x14ac:dyDescent="0.25">
      <c r="F102" s="73"/>
      <c r="G102" s="73"/>
      <c r="H102" s="73"/>
      <c r="I102" s="73"/>
      <c r="J102" s="73"/>
      <c r="K102" s="73"/>
      <c r="S102" s="74"/>
    </row>
    <row r="103" spans="1:31" x14ac:dyDescent="0.25">
      <c r="A103" s="75"/>
      <c r="F103" s="73"/>
      <c r="G103" s="73"/>
      <c r="H103" s="73"/>
      <c r="I103" s="73"/>
      <c r="J103" s="73"/>
      <c r="K103" s="73"/>
      <c r="X103" s="81"/>
    </row>
    <row r="104" spans="1:31" x14ac:dyDescent="0.25">
      <c r="F104" s="73"/>
      <c r="G104" s="73"/>
      <c r="H104" s="73"/>
      <c r="I104" s="73"/>
      <c r="J104" s="73"/>
      <c r="K104" s="73"/>
      <c r="AA104" s="75"/>
      <c r="AE104" s="74"/>
    </row>
    <row r="105" spans="1:31" x14ac:dyDescent="0.25">
      <c r="F105" s="73"/>
      <c r="G105" s="73"/>
      <c r="H105" s="73"/>
      <c r="I105" s="73"/>
      <c r="J105" s="73"/>
      <c r="K105" s="73"/>
    </row>
    <row r="106" spans="1:31" x14ac:dyDescent="0.25">
      <c r="A106" s="75"/>
      <c r="F106" s="73"/>
      <c r="G106" s="73"/>
      <c r="H106" s="73"/>
      <c r="I106" s="73"/>
      <c r="J106" s="73"/>
      <c r="K106" s="73"/>
      <c r="AA106" s="75"/>
      <c r="AE106" s="74"/>
    </row>
    <row r="107" spans="1:31" x14ac:dyDescent="0.25">
      <c r="F107" s="73"/>
      <c r="G107" s="73"/>
      <c r="H107" s="73"/>
      <c r="I107" s="73"/>
      <c r="J107" s="73"/>
      <c r="K107" s="73"/>
      <c r="W107" s="81"/>
      <c r="AE107" s="74"/>
    </row>
    <row r="108" spans="1:31" x14ac:dyDescent="0.25">
      <c r="F108" s="73"/>
      <c r="G108" s="73"/>
      <c r="H108" s="73"/>
      <c r="I108" s="73"/>
      <c r="J108" s="73"/>
      <c r="K108" s="73"/>
      <c r="AA108" s="75"/>
      <c r="AE108" s="74"/>
    </row>
    <row r="109" spans="1:31" x14ac:dyDescent="0.25">
      <c r="A109" s="75"/>
      <c r="F109" s="73"/>
      <c r="G109" s="73"/>
      <c r="H109" s="73"/>
      <c r="I109" s="73"/>
      <c r="J109" s="73"/>
      <c r="K109" s="73"/>
      <c r="AE109" s="74"/>
    </row>
    <row r="110" spans="1:31" x14ac:dyDescent="0.25">
      <c r="F110" s="73"/>
      <c r="G110" s="73"/>
      <c r="H110" s="73"/>
      <c r="I110" s="73"/>
      <c r="J110" s="73"/>
      <c r="K110" s="73"/>
      <c r="AE110" s="74"/>
    </row>
    <row r="111" spans="1:31" x14ac:dyDescent="0.25">
      <c r="A111" s="75"/>
      <c r="F111" s="73"/>
      <c r="G111" s="86"/>
      <c r="H111" s="73"/>
      <c r="I111" s="73"/>
      <c r="J111" s="73"/>
      <c r="K111" s="73"/>
      <c r="AE111" s="74"/>
    </row>
    <row r="112" spans="1:31" x14ac:dyDescent="0.25">
      <c r="F112" s="73"/>
      <c r="G112" s="73"/>
      <c r="H112" s="73"/>
      <c r="I112" s="73"/>
      <c r="J112" s="73"/>
      <c r="K112" s="73"/>
      <c r="S112" s="84"/>
      <c r="AE112" s="74"/>
    </row>
    <row r="113" spans="1:31" x14ac:dyDescent="0.25">
      <c r="A113" s="75"/>
      <c r="F113" s="73"/>
      <c r="G113" s="73"/>
      <c r="H113" s="73"/>
      <c r="I113" s="73"/>
      <c r="J113" s="73"/>
      <c r="K113" s="73"/>
      <c r="S113" s="85"/>
      <c r="AA113" s="75"/>
      <c r="AE113" s="74"/>
    </row>
    <row r="114" spans="1:31" x14ac:dyDescent="0.25">
      <c r="F114" s="73"/>
      <c r="G114" s="73"/>
      <c r="H114" s="73"/>
      <c r="I114" s="73"/>
      <c r="J114" s="73"/>
      <c r="K114" s="73"/>
      <c r="S114" s="85"/>
      <c r="AE114" s="74"/>
    </row>
    <row r="115" spans="1:31" x14ac:dyDescent="0.25">
      <c r="F115" s="73"/>
      <c r="G115" s="73"/>
      <c r="H115" s="73"/>
      <c r="I115" s="73"/>
      <c r="J115" s="73"/>
      <c r="K115" s="73"/>
      <c r="S115" s="84"/>
      <c r="AE115" s="77"/>
    </row>
    <row r="116" spans="1:31" x14ac:dyDescent="0.25">
      <c r="D116" s="83"/>
      <c r="F116" s="73"/>
      <c r="G116" s="73"/>
      <c r="H116" s="73"/>
      <c r="I116" s="73"/>
      <c r="J116" s="73"/>
      <c r="K116" s="73"/>
    </row>
    <row r="117" spans="1:31" x14ac:dyDescent="0.25">
      <c r="F117" s="73"/>
      <c r="G117" s="73"/>
      <c r="H117" s="73"/>
      <c r="I117" s="73"/>
      <c r="J117" s="73"/>
      <c r="K117" s="73"/>
    </row>
    <row r="118" spans="1:31" x14ac:dyDescent="0.25">
      <c r="A118" s="75"/>
      <c r="F118" s="73"/>
      <c r="G118" s="73"/>
      <c r="H118" s="73"/>
      <c r="I118" s="73"/>
      <c r="J118" s="73"/>
      <c r="K118" s="73"/>
      <c r="T118" s="75"/>
    </row>
    <row r="119" spans="1:31" ht="15.6" x14ac:dyDescent="0.25">
      <c r="E119" s="80"/>
      <c r="F119" s="73"/>
      <c r="G119" s="73"/>
      <c r="H119" s="73"/>
      <c r="I119" s="73"/>
      <c r="J119" s="73"/>
      <c r="K119" s="73"/>
    </row>
    <row r="120" spans="1:31" x14ac:dyDescent="0.25">
      <c r="E120" s="75"/>
      <c r="F120" s="73"/>
      <c r="G120" s="73"/>
      <c r="H120" s="73"/>
      <c r="I120" s="73"/>
      <c r="J120" s="73"/>
      <c r="K120" s="73"/>
    </row>
    <row r="121" spans="1:31" x14ac:dyDescent="0.25">
      <c r="E121" s="75"/>
      <c r="F121" s="73"/>
      <c r="G121" s="73"/>
      <c r="H121" s="73"/>
      <c r="I121" s="73"/>
      <c r="J121" s="73"/>
      <c r="K121" s="73"/>
      <c r="AA121" s="75"/>
      <c r="AD121" s="83"/>
    </row>
    <row r="122" spans="1:31" x14ac:dyDescent="0.25">
      <c r="E122" s="75"/>
      <c r="F122" s="73"/>
      <c r="G122" s="73"/>
      <c r="H122" s="73"/>
      <c r="I122" s="73"/>
      <c r="J122" s="73"/>
      <c r="K122" s="73"/>
    </row>
    <row r="123" spans="1:31" x14ac:dyDescent="0.25">
      <c r="E123" s="75"/>
      <c r="F123" s="73"/>
      <c r="G123" s="73"/>
      <c r="H123" s="73"/>
      <c r="I123" s="73"/>
      <c r="J123" s="73"/>
      <c r="K123" s="73"/>
    </row>
    <row r="124" spans="1:31" x14ac:dyDescent="0.25">
      <c r="D124" s="81"/>
      <c r="E124" s="75"/>
      <c r="F124" s="73"/>
      <c r="G124" s="73"/>
      <c r="H124" s="73"/>
      <c r="I124" s="73"/>
      <c r="J124" s="73"/>
      <c r="K124" s="73"/>
    </row>
    <row r="125" spans="1:31" x14ac:dyDescent="0.25">
      <c r="E125" s="75"/>
      <c r="F125" s="73"/>
      <c r="G125" s="73"/>
      <c r="H125" s="73"/>
      <c r="I125" s="73"/>
      <c r="J125" s="73"/>
      <c r="K125" s="73"/>
    </row>
    <row r="126" spans="1:31" x14ac:dyDescent="0.25">
      <c r="A126" s="75"/>
      <c r="E126" s="75"/>
      <c r="F126" s="73"/>
      <c r="G126" s="73"/>
      <c r="H126" s="73"/>
      <c r="I126" s="73"/>
      <c r="J126" s="73"/>
      <c r="K126" s="73"/>
    </row>
    <row r="127" spans="1:31" x14ac:dyDescent="0.25">
      <c r="F127" s="73"/>
      <c r="G127" s="73"/>
      <c r="H127" s="73"/>
      <c r="I127" s="73"/>
      <c r="J127" s="73"/>
      <c r="K127" s="73"/>
    </row>
    <row r="128" spans="1:31" x14ac:dyDescent="0.25">
      <c r="F128" s="82"/>
      <c r="G128" s="73"/>
      <c r="H128" s="73"/>
      <c r="I128" s="73"/>
      <c r="J128" s="73"/>
      <c r="K128" s="73"/>
    </row>
    <row r="129" spans="1:31" x14ac:dyDescent="0.25">
      <c r="F129" s="73"/>
      <c r="G129" s="73"/>
      <c r="H129" s="73"/>
      <c r="I129" s="73"/>
      <c r="J129" s="73"/>
      <c r="K129" s="73"/>
      <c r="AD129" s="81"/>
    </row>
    <row r="130" spans="1:31" x14ac:dyDescent="0.25">
      <c r="F130" s="73"/>
      <c r="G130" s="73"/>
      <c r="H130" s="73"/>
      <c r="I130" s="73"/>
      <c r="J130" s="73"/>
      <c r="K130" s="73"/>
      <c r="AA130" s="74"/>
      <c r="AB130" s="78"/>
    </row>
    <row r="131" spans="1:31" x14ac:dyDescent="0.25">
      <c r="D131" s="75"/>
      <c r="F131" s="73"/>
      <c r="G131" s="73"/>
      <c r="H131" s="73"/>
      <c r="I131" s="73"/>
      <c r="J131" s="73"/>
      <c r="K131" s="73"/>
      <c r="AB131" s="74"/>
    </row>
    <row r="132" spans="1:31" x14ac:dyDescent="0.25">
      <c r="D132" s="75"/>
      <c r="F132" s="73"/>
      <c r="G132" s="73"/>
      <c r="H132" s="73"/>
      <c r="I132" s="73"/>
      <c r="J132" s="73"/>
      <c r="K132" s="73"/>
      <c r="AB132" s="74"/>
    </row>
    <row r="133" spans="1:31" x14ac:dyDescent="0.25">
      <c r="F133" s="73"/>
      <c r="G133" s="73"/>
      <c r="H133" s="73"/>
      <c r="I133" s="73"/>
      <c r="J133" s="73"/>
      <c r="K133" s="73"/>
      <c r="AB133" s="74"/>
    </row>
    <row r="134" spans="1:31" x14ac:dyDescent="0.25">
      <c r="F134" s="73"/>
      <c r="G134" s="73"/>
      <c r="H134" s="73"/>
      <c r="I134" s="73"/>
      <c r="J134" s="73"/>
      <c r="K134" s="73"/>
      <c r="AB134" s="74"/>
    </row>
    <row r="135" spans="1:31" ht="15.6" x14ac:dyDescent="0.25">
      <c r="A135" s="74"/>
      <c r="B135" s="78"/>
      <c r="C135" s="79"/>
      <c r="D135" s="78"/>
      <c r="F135" s="73"/>
      <c r="G135" s="73"/>
      <c r="H135" s="73"/>
      <c r="I135" s="73"/>
      <c r="J135" s="73"/>
      <c r="K135" s="73"/>
      <c r="AB135" s="74"/>
      <c r="AC135" s="79"/>
      <c r="AE135" s="80"/>
    </row>
    <row r="136" spans="1:31" x14ac:dyDescent="0.25">
      <c r="B136" s="74"/>
      <c r="C136" s="79"/>
      <c r="F136" s="73"/>
      <c r="G136" s="73"/>
      <c r="H136" s="73"/>
      <c r="I136" s="73"/>
      <c r="J136" s="73"/>
      <c r="K136" s="73"/>
      <c r="AB136" s="77"/>
      <c r="AC136" s="79"/>
      <c r="AD136" s="75"/>
      <c r="AE136" s="75"/>
    </row>
    <row r="137" spans="1:31" x14ac:dyDescent="0.25">
      <c r="B137" s="74"/>
      <c r="C137" s="79"/>
      <c r="F137" s="73"/>
      <c r="G137" s="73"/>
      <c r="H137" s="73"/>
      <c r="I137" s="73"/>
      <c r="J137" s="73"/>
      <c r="K137" s="73"/>
      <c r="AB137" s="74"/>
      <c r="AC137" s="79"/>
      <c r="AD137" s="75"/>
      <c r="AE137" s="75"/>
    </row>
    <row r="138" spans="1:31" x14ac:dyDescent="0.25">
      <c r="B138" s="74"/>
      <c r="C138" s="75"/>
      <c r="E138" s="74"/>
      <c r="F138" s="73"/>
      <c r="G138" s="73"/>
      <c r="H138" s="73"/>
      <c r="I138" s="73"/>
      <c r="J138" s="73"/>
      <c r="K138" s="73"/>
      <c r="AC138" s="75"/>
      <c r="AE138" s="75"/>
    </row>
    <row r="139" spans="1:31" x14ac:dyDescent="0.25">
      <c r="B139" s="74"/>
      <c r="C139" s="75"/>
      <c r="F139" s="73"/>
      <c r="G139" s="73"/>
      <c r="H139" s="73"/>
      <c r="I139" s="73"/>
      <c r="J139" s="73"/>
      <c r="K139" s="73"/>
      <c r="AC139" s="75"/>
      <c r="AE139" s="75"/>
    </row>
    <row r="140" spans="1:31" x14ac:dyDescent="0.25">
      <c r="B140" s="74"/>
      <c r="C140" s="75"/>
      <c r="E140" s="74"/>
      <c r="F140" s="73"/>
      <c r="G140" s="73"/>
      <c r="H140" s="73"/>
      <c r="I140" s="73"/>
      <c r="J140" s="73"/>
      <c r="K140" s="73"/>
      <c r="AC140" s="75"/>
      <c r="AD140" s="78"/>
      <c r="AE140" s="75"/>
    </row>
    <row r="141" spans="1:31" x14ac:dyDescent="0.25">
      <c r="B141" s="77"/>
      <c r="C141" s="76"/>
      <c r="E141" s="74"/>
      <c r="F141" s="73"/>
      <c r="G141" s="73"/>
      <c r="H141" s="73"/>
      <c r="I141" s="73"/>
      <c r="J141" s="73"/>
      <c r="K141" s="73"/>
      <c r="AC141" s="76"/>
      <c r="AE141" s="75"/>
    </row>
    <row r="142" spans="1:31" x14ac:dyDescent="0.25">
      <c r="B142" s="74"/>
      <c r="C142" s="76"/>
      <c r="F142" s="73"/>
      <c r="G142" s="73"/>
      <c r="H142" s="73"/>
      <c r="I142" s="73"/>
      <c r="J142" s="73"/>
      <c r="K142" s="73"/>
      <c r="AC142" s="76"/>
      <c r="AE142" s="75"/>
    </row>
    <row r="143" spans="1:31" x14ac:dyDescent="0.25">
      <c r="F143" s="73"/>
      <c r="G143" s="73"/>
      <c r="H143" s="73"/>
      <c r="I143" s="73"/>
      <c r="J143" s="73"/>
      <c r="K143" s="73"/>
    </row>
    <row r="144" spans="1:31" x14ac:dyDescent="0.25">
      <c r="F144" s="73"/>
      <c r="G144" s="73"/>
      <c r="H144" s="73"/>
      <c r="I144" s="73"/>
      <c r="J144" s="73"/>
      <c r="K144" s="73"/>
    </row>
    <row r="145" spans="1:31" x14ac:dyDescent="0.25">
      <c r="F145" s="73"/>
      <c r="G145" s="73"/>
      <c r="H145" s="73"/>
      <c r="I145" s="73"/>
      <c r="J145" s="73"/>
      <c r="K145" s="73"/>
    </row>
    <row r="146" spans="1:31" x14ac:dyDescent="0.25">
      <c r="F146" s="73"/>
      <c r="G146" s="73"/>
      <c r="H146" s="73"/>
      <c r="I146" s="73"/>
      <c r="J146" s="73"/>
      <c r="K146" s="73"/>
    </row>
    <row r="147" spans="1:31" x14ac:dyDescent="0.25">
      <c r="F147" s="73"/>
      <c r="G147" s="73"/>
      <c r="H147" s="73"/>
      <c r="I147" s="73"/>
      <c r="J147" s="73"/>
      <c r="K147" s="73"/>
    </row>
    <row r="148" spans="1:31" x14ac:dyDescent="0.25">
      <c r="F148" s="73"/>
      <c r="G148" s="73"/>
      <c r="H148" s="73"/>
      <c r="I148" s="73"/>
      <c r="J148" s="73"/>
      <c r="K148" s="73"/>
      <c r="AA148" s="75"/>
    </row>
    <row r="149" spans="1:31" x14ac:dyDescent="0.25">
      <c r="F149" s="73"/>
      <c r="G149" s="73"/>
      <c r="H149" s="73"/>
    </row>
    <row r="150" spans="1:31" x14ac:dyDescent="0.25">
      <c r="F150" s="73"/>
      <c r="G150" s="73"/>
      <c r="H150" s="73"/>
    </row>
    <row r="151" spans="1:31" x14ac:dyDescent="0.25">
      <c r="F151" s="73"/>
      <c r="G151" s="73"/>
      <c r="H151" s="73"/>
      <c r="AA151" s="75"/>
    </row>
    <row r="152" spans="1:31" x14ac:dyDescent="0.25">
      <c r="F152" s="73"/>
      <c r="G152" s="73"/>
      <c r="H152" s="73"/>
    </row>
    <row r="153" spans="1:31" x14ac:dyDescent="0.25">
      <c r="A153" s="75"/>
      <c r="F153" s="73"/>
      <c r="G153" s="73"/>
      <c r="H153" s="73"/>
    </row>
    <row r="154" spans="1:31" x14ac:dyDescent="0.25">
      <c r="F154" s="73"/>
      <c r="G154" s="73"/>
      <c r="H154" s="73"/>
      <c r="AE154" s="74"/>
    </row>
    <row r="155" spans="1:31" x14ac:dyDescent="0.25">
      <c r="F155" s="73"/>
    </row>
    <row r="156" spans="1:31" x14ac:dyDescent="0.25">
      <c r="A156" s="75"/>
      <c r="F156" s="73"/>
      <c r="AE156" s="74"/>
    </row>
    <row r="157" spans="1:31" x14ac:dyDescent="0.25">
      <c r="F157" s="73"/>
      <c r="AE157" s="74"/>
    </row>
    <row r="158" spans="1:31" x14ac:dyDescent="0.25">
      <c r="F158" s="73"/>
    </row>
    <row r="159" spans="1:31" x14ac:dyDescent="0.25">
      <c r="F159" s="73"/>
    </row>
    <row r="160" spans="1:31" x14ac:dyDescent="0.25">
      <c r="F160" s="73"/>
    </row>
    <row r="161" spans="6:6" x14ac:dyDescent="0.25">
      <c r="F161" s="73"/>
    </row>
    <row r="162" spans="6:6" x14ac:dyDescent="0.25">
      <c r="F162" s="73"/>
    </row>
    <row r="163" spans="6:6" x14ac:dyDescent="0.25">
      <c r="F163" s="73"/>
    </row>
    <row r="164" spans="6:6" x14ac:dyDescent="0.25">
      <c r="F164" s="73"/>
    </row>
    <row r="165" spans="6:6" x14ac:dyDescent="0.25">
      <c r="F165" s="73"/>
    </row>
    <row r="166" spans="6:6" x14ac:dyDescent="0.25">
      <c r="F166" s="73"/>
    </row>
    <row r="167" spans="6:6" x14ac:dyDescent="0.25">
      <c r="F167" s="73"/>
    </row>
    <row r="168" spans="6:6" x14ac:dyDescent="0.25">
      <c r="F168" s="73"/>
    </row>
    <row r="169" spans="6:6" x14ac:dyDescent="0.25">
      <c r="F169" s="73"/>
    </row>
    <row r="170" spans="6:6" x14ac:dyDescent="0.25">
      <c r="F170" s="73"/>
    </row>
    <row r="171" spans="6:6" x14ac:dyDescent="0.25">
      <c r="F171" s="73"/>
    </row>
    <row r="172" spans="6:6" x14ac:dyDescent="0.25">
      <c r="F172" s="73"/>
    </row>
    <row r="173" spans="6:6" x14ac:dyDescent="0.25">
      <c r="F173" s="73"/>
    </row>
    <row r="174" spans="6:6" x14ac:dyDescent="0.25">
      <c r="F174" s="73"/>
    </row>
    <row r="175" spans="6:6" x14ac:dyDescent="0.25">
      <c r="F175" s="73"/>
    </row>
    <row r="176" spans="6:6" x14ac:dyDescent="0.25">
      <c r="F176" s="73"/>
    </row>
    <row r="177" spans="6:6" x14ac:dyDescent="0.25">
      <c r="F177" s="73"/>
    </row>
    <row r="178" spans="6:6" x14ac:dyDescent="0.25">
      <c r="F178" s="73"/>
    </row>
    <row r="179" spans="6:6" x14ac:dyDescent="0.25">
      <c r="F179" s="73"/>
    </row>
    <row r="180" spans="6:6" x14ac:dyDescent="0.25">
      <c r="F180" s="73"/>
    </row>
    <row r="181" spans="6:6" x14ac:dyDescent="0.25">
      <c r="F181" s="73"/>
    </row>
  </sheetData>
  <dataConsolidate/>
  <mergeCells count="9">
    <mergeCell ref="D38:J38"/>
    <mergeCell ref="D37:J37"/>
    <mergeCell ref="A36:J36"/>
    <mergeCell ref="D44:J44"/>
    <mergeCell ref="D43:J43"/>
    <mergeCell ref="D42:J42"/>
    <mergeCell ref="D41:J41"/>
    <mergeCell ref="D40:J40"/>
    <mergeCell ref="D39:J39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>
    <pageSetUpPr fitToPage="1"/>
  </sheetPr>
  <dimension ref="A1:Q36"/>
  <sheetViews>
    <sheetView tabSelected="1" topLeftCell="F10" zoomScaleNormal="100" workbookViewId="0">
      <selection activeCell="H10" sqref="H10"/>
    </sheetView>
  </sheetViews>
  <sheetFormatPr defaultColWidth="9.109375" defaultRowHeight="13.2" x14ac:dyDescent="0.25"/>
  <cols>
    <col min="1" max="1" width="9.109375" style="13"/>
    <col min="2" max="2" width="81.88671875" style="13" customWidth="1"/>
    <col min="3" max="3" width="34.109375" style="13" customWidth="1"/>
    <col min="4" max="4" width="25" style="13" customWidth="1"/>
    <col min="5" max="5" width="35.33203125" style="13" customWidth="1"/>
    <col min="6" max="6" width="28.33203125" style="13" customWidth="1"/>
    <col min="7" max="7" width="9.109375" style="13"/>
    <col min="8" max="8" width="27.5546875" style="13" customWidth="1"/>
    <col min="9" max="9" width="15.6640625" style="13" bestFit="1" customWidth="1"/>
    <col min="10" max="10" width="17.77734375" style="13" bestFit="1" customWidth="1"/>
    <col min="11" max="16384" width="9.109375" style="13"/>
  </cols>
  <sheetData>
    <row r="1" spans="1:17" ht="15.6" x14ac:dyDescent="0.3">
      <c r="B1" s="156"/>
      <c r="C1" s="156"/>
      <c r="D1" s="156"/>
      <c r="E1" s="156"/>
      <c r="F1" s="31"/>
      <c r="G1" s="59"/>
      <c r="H1" s="114"/>
      <c r="I1" s="91"/>
    </row>
    <row r="2" spans="1:17" ht="30.6" customHeight="1" x14ac:dyDescent="0.25">
      <c r="B2" s="59"/>
      <c r="C2" s="59"/>
      <c r="D2" s="59"/>
      <c r="E2" s="59"/>
      <c r="F2" s="31"/>
      <c r="G2" s="59"/>
      <c r="H2" s="31"/>
    </row>
    <row r="3" spans="1:17" ht="39" customHeight="1" x14ac:dyDescent="0.25">
      <c r="B3" s="59"/>
      <c r="C3" s="59"/>
      <c r="D3" s="59"/>
      <c r="E3" s="59"/>
      <c r="F3" s="31"/>
      <c r="G3" s="59"/>
      <c r="H3" s="155"/>
    </row>
    <row r="4" spans="1:17" ht="23.4" customHeight="1" x14ac:dyDescent="0.4">
      <c r="A4" s="225" t="s">
        <v>249</v>
      </c>
      <c r="B4" s="226" t="s">
        <v>248</v>
      </c>
      <c r="C4" s="226"/>
      <c r="D4" s="226"/>
      <c r="E4" s="226"/>
      <c r="F4" s="226"/>
    </row>
    <row r="5" spans="1:17" ht="23.4" customHeight="1" x14ac:dyDescent="0.25">
      <c r="A5" s="225"/>
      <c r="B5" s="154" t="s">
        <v>159</v>
      </c>
      <c r="C5" s="153" t="s">
        <v>158</v>
      </c>
      <c r="D5" s="152" t="s">
        <v>157</v>
      </c>
      <c r="E5" s="151" t="s">
        <v>2</v>
      </c>
      <c r="F5" s="151" t="s">
        <v>156</v>
      </c>
    </row>
    <row r="6" spans="1:17" ht="24" customHeight="1" x14ac:dyDescent="0.4">
      <c r="A6" s="134">
        <v>1</v>
      </c>
      <c r="B6" s="150" t="s">
        <v>155</v>
      </c>
      <c r="C6" s="134" t="s">
        <v>247</v>
      </c>
      <c r="D6" s="134" t="s">
        <v>153</v>
      </c>
      <c r="E6" s="134" t="s">
        <v>146</v>
      </c>
      <c r="F6" s="146">
        <v>7.4</v>
      </c>
      <c r="G6" s="145"/>
      <c r="H6" s="149"/>
      <c r="Q6" s="85"/>
    </row>
    <row r="7" spans="1:17" ht="24" customHeight="1" x14ac:dyDescent="0.4">
      <c r="A7" s="134">
        <f t="shared" ref="A7:A14" si="0">A6+1</f>
        <v>2</v>
      </c>
      <c r="B7" s="150" t="s">
        <v>246</v>
      </c>
      <c r="C7" s="134" t="s">
        <v>245</v>
      </c>
      <c r="D7" s="134" t="s">
        <v>153</v>
      </c>
      <c r="E7" s="134" t="s">
        <v>146</v>
      </c>
      <c r="F7" s="146">
        <v>1.2</v>
      </c>
      <c r="G7" s="145"/>
      <c r="H7" s="149">
        <f>F6-F7</f>
        <v>6.2</v>
      </c>
      <c r="Q7" s="85"/>
    </row>
    <row r="8" spans="1:17" ht="22.2" customHeight="1" x14ac:dyDescent="0.4">
      <c r="A8" s="134">
        <f t="shared" si="0"/>
        <v>3</v>
      </c>
      <c r="B8" s="147" t="s">
        <v>244</v>
      </c>
      <c r="C8" s="138" t="s">
        <v>243</v>
      </c>
      <c r="D8" s="138" t="s">
        <v>242</v>
      </c>
      <c r="E8" s="134" t="s">
        <v>146</v>
      </c>
      <c r="F8" s="146">
        <v>190000</v>
      </c>
      <c r="G8" s="145"/>
      <c r="H8" s="149">
        <f>H7*5.1</f>
        <v>31.619999999999997</v>
      </c>
      <c r="Q8" s="85"/>
    </row>
    <row r="9" spans="1:17" ht="22.95" customHeight="1" x14ac:dyDescent="0.4">
      <c r="A9" s="134">
        <f t="shared" si="0"/>
        <v>4</v>
      </c>
      <c r="B9" s="147" t="s">
        <v>63</v>
      </c>
      <c r="C9" s="138" t="s">
        <v>241</v>
      </c>
      <c r="D9" s="148" t="s">
        <v>236</v>
      </c>
      <c r="E9" s="134" t="s">
        <v>146</v>
      </c>
      <c r="F9" s="146">
        <v>0</v>
      </c>
      <c r="G9" s="145"/>
      <c r="H9" s="91"/>
    </row>
    <row r="10" spans="1:17" ht="22.95" customHeight="1" x14ac:dyDescent="0.4">
      <c r="A10" s="134">
        <f t="shared" si="0"/>
        <v>5</v>
      </c>
      <c r="B10" s="147" t="s">
        <v>240</v>
      </c>
      <c r="C10" s="138" t="s">
        <v>239</v>
      </c>
      <c r="D10" s="148" t="s">
        <v>236</v>
      </c>
      <c r="E10" s="138" t="s">
        <v>238</v>
      </c>
      <c r="F10" s="238">
        <f>F11+(F6-F7)*Свх!O34</f>
        <v>38.472596521408541</v>
      </c>
      <c r="G10" s="145"/>
      <c r="H10" s="91">
        <f>Свх!O34</f>
        <v>5.398805890549764</v>
      </c>
    </row>
    <row r="11" spans="1:17" ht="23.25" customHeight="1" x14ac:dyDescent="0.4">
      <c r="A11" s="134">
        <f t="shared" si="0"/>
        <v>6</v>
      </c>
      <c r="B11" s="147" t="s">
        <v>64</v>
      </c>
      <c r="C11" s="138" t="s">
        <v>237</v>
      </c>
      <c r="D11" s="148" t="s">
        <v>236</v>
      </c>
      <c r="E11" s="134" t="s">
        <v>146</v>
      </c>
      <c r="F11" s="146">
        <v>5</v>
      </c>
      <c r="G11" s="145"/>
      <c r="H11" s="242">
        <f>Свхвыхкот!O23</f>
        <v>0.36498803735338126</v>
      </c>
    </row>
    <row r="12" spans="1:17" ht="23.25" customHeight="1" x14ac:dyDescent="0.4">
      <c r="A12" s="134">
        <f t="shared" si="0"/>
        <v>7</v>
      </c>
      <c r="B12" s="147" t="s">
        <v>235</v>
      </c>
      <c r="C12" s="138" t="s">
        <v>234</v>
      </c>
      <c r="D12" s="138" t="s">
        <v>99</v>
      </c>
      <c r="E12" s="134" t="s">
        <v>146</v>
      </c>
      <c r="F12" s="146">
        <v>0.3</v>
      </c>
      <c r="G12" s="145"/>
      <c r="H12" s="144"/>
    </row>
    <row r="13" spans="1:17" ht="23.25" customHeight="1" x14ac:dyDescent="0.4">
      <c r="A13" s="134">
        <f t="shared" si="0"/>
        <v>8</v>
      </c>
      <c r="B13" s="147" t="s">
        <v>233</v>
      </c>
      <c r="C13" s="138" t="s">
        <v>232</v>
      </c>
      <c r="D13" s="138" t="s">
        <v>99</v>
      </c>
      <c r="E13" s="134" t="s">
        <v>146</v>
      </c>
      <c r="F13" s="146">
        <f>1-F12</f>
        <v>0.7</v>
      </c>
      <c r="G13" s="145"/>
      <c r="H13" s="144"/>
    </row>
    <row r="14" spans="1:17" ht="21.6" customHeight="1" thickBot="1" x14ac:dyDescent="0.45">
      <c r="A14" s="134">
        <f t="shared" si="0"/>
        <v>9</v>
      </c>
      <c r="B14" s="143" t="s">
        <v>231</v>
      </c>
      <c r="C14" s="131" t="s">
        <v>230</v>
      </c>
      <c r="D14" s="131"/>
      <c r="E14" s="131"/>
      <c r="F14" s="131"/>
      <c r="G14" s="228" t="s">
        <v>312</v>
      </c>
      <c r="H14" s="229"/>
    </row>
    <row r="15" spans="1:17" ht="21.6" customHeight="1" x14ac:dyDescent="0.35">
      <c r="A15" s="134"/>
      <c r="B15" s="134"/>
      <c r="C15" s="139"/>
      <c r="D15" s="131" t="s">
        <v>229</v>
      </c>
      <c r="E15" s="131"/>
      <c r="F15" s="142">
        <f>ROUND('Расчет тепл мощности'!G9*0.000001,3)</f>
        <v>3.7269999999999999</v>
      </c>
      <c r="G15" s="141" t="s">
        <v>228</v>
      </c>
      <c r="H15" s="140" t="s">
        <v>227</v>
      </c>
    </row>
    <row r="16" spans="1:17" ht="21.6" customHeight="1" thickBot="1" x14ac:dyDescent="0.4">
      <c r="A16" s="134"/>
      <c r="B16" s="134"/>
      <c r="C16" s="139"/>
      <c r="D16" s="131" t="s">
        <v>226</v>
      </c>
      <c r="E16" s="138"/>
      <c r="F16" s="137">
        <f>ROUND(F15*1163,0)</f>
        <v>4335</v>
      </c>
      <c r="G16" s="136">
        <v>1500</v>
      </c>
      <c r="H16" s="135">
        <f>ROUND(G16/(1163*0.000001*(F10-F9)*Свхвыхкот!O23),0)</f>
        <v>91850</v>
      </c>
      <c r="I16" s="236">
        <f>(1163*0.000001*(F10-F9)*Свхвыхкот!O23)</f>
        <v>1.6330889608124129E-2</v>
      </c>
      <c r="J16" s="237">
        <v>4.5596056733490297E-3</v>
      </c>
    </row>
    <row r="17" spans="1:12" ht="22.5" customHeight="1" x14ac:dyDescent="0.35">
      <c r="A17" s="134">
        <f>A14+1</f>
        <v>10</v>
      </c>
      <c r="B17" s="133" t="s">
        <v>225</v>
      </c>
      <c r="C17" s="55" t="s">
        <v>224</v>
      </c>
      <c r="D17" s="132" t="s">
        <v>223</v>
      </c>
      <c r="E17" s="131"/>
      <c r="F17" s="122">
        <f>'Расчет тепл мощности'!G14</f>
        <v>221.51685393258427</v>
      </c>
      <c r="I17" s="13">
        <f>G16/I16</f>
        <v>91850.476979147235</v>
      </c>
      <c r="J17" s="13">
        <f>G16/J16</f>
        <v>328975.81665176107</v>
      </c>
      <c r="L17" s="13">
        <f>J18-I18</f>
        <v>258.16451636549289</v>
      </c>
    </row>
    <row r="18" spans="1:12" ht="18" x14ac:dyDescent="0.35">
      <c r="A18" s="127"/>
      <c r="B18" s="130"/>
      <c r="C18" s="129"/>
      <c r="D18" s="128"/>
      <c r="E18" s="125"/>
      <c r="I18" s="13">
        <v>100</v>
      </c>
      <c r="J18" s="13">
        <f>(J17*I18)/I17</f>
        <v>358.16451636549289</v>
      </c>
    </row>
    <row r="19" spans="1:12" ht="20.399999999999999" x14ac:dyDescent="0.35">
      <c r="A19" s="127"/>
      <c r="B19" s="126"/>
      <c r="C19" s="125"/>
      <c r="D19" s="125"/>
      <c r="E19" s="72"/>
    </row>
    <row r="20" spans="1:12" ht="21.6" customHeight="1" x14ac:dyDescent="0.3">
      <c r="C20" s="124"/>
      <c r="D20" s="123" t="s">
        <v>222</v>
      </c>
      <c r="E20" s="123"/>
      <c r="H20" s="91"/>
    </row>
    <row r="21" spans="1:12" ht="18" customHeight="1" x14ac:dyDescent="0.3">
      <c r="A21" s="35"/>
      <c r="B21" s="35"/>
      <c r="C21" s="122"/>
      <c r="D21" s="227" t="s">
        <v>221</v>
      </c>
      <c r="E21" s="227"/>
      <c r="F21" s="35"/>
      <c r="H21" s="91"/>
    </row>
    <row r="22" spans="1:12" ht="20.25" customHeight="1" x14ac:dyDescent="0.25">
      <c r="B22" s="120"/>
      <c r="C22" s="120"/>
      <c r="D22" s="120"/>
      <c r="E22" s="120"/>
      <c r="F22" s="121"/>
    </row>
    <row r="23" spans="1:12" ht="27" customHeight="1" x14ac:dyDescent="0.25">
      <c r="B23" s="120"/>
      <c r="F23" s="31"/>
    </row>
    <row r="24" spans="1:12" ht="27" customHeight="1" x14ac:dyDescent="0.25">
      <c r="B24" s="116"/>
      <c r="F24" s="116"/>
    </row>
    <row r="25" spans="1:12" ht="27.75" customHeight="1" x14ac:dyDescent="0.25">
      <c r="B25" s="120"/>
      <c r="F25" s="31"/>
    </row>
    <row r="26" spans="1:12" ht="15.45" customHeight="1" x14ac:dyDescent="0.25">
      <c r="B26" s="120"/>
      <c r="C26" s="120"/>
      <c r="D26" s="120"/>
      <c r="E26" s="120"/>
      <c r="F26" s="31"/>
    </row>
    <row r="27" spans="1:12" x14ac:dyDescent="0.25">
      <c r="B27" s="117"/>
      <c r="C27" s="117"/>
      <c r="D27" s="117"/>
      <c r="E27" s="117"/>
      <c r="F27" s="117"/>
    </row>
    <row r="28" spans="1:12" ht="14.7" customHeight="1" x14ac:dyDescent="0.25">
      <c r="B28" s="120"/>
      <c r="C28" s="120"/>
      <c r="D28" s="120"/>
      <c r="E28" s="120"/>
      <c r="F28" s="31"/>
    </row>
    <row r="29" spans="1:12" ht="17.399999999999999" customHeight="1" x14ac:dyDescent="0.25">
      <c r="B29" s="119"/>
      <c r="C29" s="119"/>
      <c r="D29" s="119"/>
      <c r="E29" s="119"/>
      <c r="F29" s="119"/>
    </row>
    <row r="30" spans="1:12" x14ac:dyDescent="0.25">
      <c r="B30" s="118"/>
      <c r="C30" s="118"/>
      <c r="D30" s="118"/>
      <c r="E30" s="118"/>
      <c r="F30" s="31"/>
    </row>
    <row r="31" spans="1:12" ht="20.100000000000001" customHeight="1" x14ac:dyDescent="0.25">
      <c r="B31" s="117"/>
      <c r="C31" s="117"/>
      <c r="D31" s="117"/>
      <c r="E31" s="117"/>
      <c r="F31" s="117"/>
    </row>
    <row r="32" spans="1:12" x14ac:dyDescent="0.25">
      <c r="B32" s="116"/>
      <c r="C32" s="116"/>
      <c r="D32" s="116"/>
      <c r="E32" s="116"/>
      <c r="F32" s="116"/>
    </row>
    <row r="33" spans="2:6" ht="15.6" x14ac:dyDescent="0.25">
      <c r="B33" s="115"/>
      <c r="C33" s="115"/>
      <c r="D33" s="115"/>
      <c r="E33" s="115"/>
      <c r="F33" s="115"/>
    </row>
    <row r="34" spans="2:6" x14ac:dyDescent="0.25">
      <c r="B34" s="59"/>
      <c r="C34" s="59"/>
      <c r="D34" s="59"/>
      <c r="E34" s="59"/>
      <c r="F34" s="114"/>
    </row>
    <row r="36" spans="2:6" ht="18.75" customHeight="1" x14ac:dyDescent="0.25"/>
  </sheetData>
  <mergeCells count="4">
    <mergeCell ref="A4:A5"/>
    <mergeCell ref="B4:F4"/>
    <mergeCell ref="D21:E21"/>
    <mergeCell ref="G14:H14"/>
  </mergeCells>
  <dataValidations count="1">
    <dataValidation operator="equal" allowBlank="1" showErrorMessage="1" prompt="Не жми сюдыть!!!!!!!" sqref="F8" xr:uid="{00000000-0002-0000-0400-000000000000}">
      <formula1>0</formula1>
      <formula2>0</formula2>
    </dataValidation>
  </dataValidations>
  <pageMargins left="0.74791666666666701" right="0.74791666666666701" top="0.98402777777777795" bottom="0.98402777777777795" header="0.51180555555555496" footer="0.51180555555555496"/>
  <pageSetup paperSize="9" scale="40" firstPageNumber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X77"/>
  <sheetViews>
    <sheetView topLeftCell="K1" zoomScale="55" zoomScaleNormal="55" workbookViewId="0">
      <selection activeCell="Q6" sqref="Q6"/>
    </sheetView>
  </sheetViews>
  <sheetFormatPr defaultColWidth="9.109375" defaultRowHeight="13.2" x14ac:dyDescent="0.25"/>
  <cols>
    <col min="1" max="1" width="9.44140625" style="13" customWidth="1"/>
    <col min="2" max="2" width="24.44140625" style="13" customWidth="1"/>
    <col min="3" max="3" width="15.77734375" style="13" customWidth="1"/>
    <col min="4" max="4" width="25.6640625" style="13" customWidth="1"/>
    <col min="5" max="5" width="8.44140625" style="13" customWidth="1"/>
    <col min="6" max="6" width="18.5546875" style="13" customWidth="1"/>
    <col min="7" max="10" width="9.109375" style="13"/>
    <col min="11" max="11" width="24" style="13" customWidth="1"/>
    <col min="12" max="12" width="25" style="13" customWidth="1"/>
    <col min="13" max="13" width="24" style="13" customWidth="1"/>
    <col min="14" max="14" width="9.109375" style="13"/>
    <col min="15" max="15" width="9.109375" style="13" customWidth="1"/>
    <col min="16" max="25" width="9.109375" style="13"/>
    <col min="26" max="26" width="11.88671875" style="13" customWidth="1"/>
    <col min="27" max="16384" width="9.109375" style="13"/>
  </cols>
  <sheetData>
    <row r="1" spans="1:15" ht="29.4" customHeight="1" x14ac:dyDescent="0.35">
      <c r="B1" s="230" t="s">
        <v>160</v>
      </c>
      <c r="C1" s="230"/>
      <c r="D1" s="230"/>
      <c r="E1" s="230"/>
      <c r="F1" s="230"/>
      <c r="K1" s="230" t="s">
        <v>160</v>
      </c>
      <c r="L1" s="230"/>
      <c r="M1" s="230"/>
      <c r="N1" s="230"/>
      <c r="O1" s="230"/>
    </row>
    <row r="2" spans="1:15" ht="51" customHeight="1" x14ac:dyDescent="0.25">
      <c r="A2" s="231" t="s">
        <v>159</v>
      </c>
      <c r="B2" s="231"/>
      <c r="C2" s="71" t="s">
        <v>158</v>
      </c>
      <c r="D2" s="71" t="s">
        <v>157</v>
      </c>
      <c r="E2" s="53" t="s">
        <v>2</v>
      </c>
      <c r="F2" s="67" t="s">
        <v>156</v>
      </c>
      <c r="G2" s="233"/>
      <c r="H2" s="233"/>
      <c r="I2" s="233"/>
      <c r="J2" s="231" t="s">
        <v>159</v>
      </c>
      <c r="K2" s="231"/>
      <c r="L2" s="71" t="s">
        <v>158</v>
      </c>
      <c r="M2" s="71" t="s">
        <v>157</v>
      </c>
      <c r="N2" s="53" t="s">
        <v>2</v>
      </c>
      <c r="O2" s="67" t="s">
        <v>156</v>
      </c>
    </row>
    <row r="3" spans="1:15" ht="51" customHeight="1" x14ac:dyDescent="0.25">
      <c r="A3" s="232"/>
      <c r="B3" s="232"/>
      <c r="C3" s="232"/>
      <c r="D3" s="232"/>
      <c r="E3" s="232"/>
      <c r="F3" s="232"/>
      <c r="G3" s="234"/>
      <c r="H3" s="234"/>
      <c r="I3" s="234"/>
      <c r="J3" s="232"/>
      <c r="K3" s="232"/>
      <c r="L3" s="232"/>
      <c r="M3" s="232"/>
      <c r="N3" s="232"/>
      <c r="O3" s="232"/>
    </row>
    <row r="4" spans="1:15" ht="33.6" customHeight="1" x14ac:dyDescent="0.3">
      <c r="A4" s="43">
        <v>1</v>
      </c>
      <c r="B4" s="42" t="s">
        <v>155</v>
      </c>
      <c r="C4" s="41" t="s">
        <v>154</v>
      </c>
      <c r="D4" s="41" t="s">
        <v>153</v>
      </c>
      <c r="E4" s="53" t="s">
        <v>146</v>
      </c>
      <c r="F4" s="68">
        <v>20</v>
      </c>
      <c r="G4" s="64"/>
      <c r="H4" s="31"/>
      <c r="I4" s="63"/>
      <c r="J4" s="43">
        <v>1</v>
      </c>
      <c r="K4" s="42" t="s">
        <v>155</v>
      </c>
      <c r="L4" s="41" t="s">
        <v>154</v>
      </c>
      <c r="M4" s="41" t="s">
        <v>153</v>
      </c>
      <c r="N4" s="53" t="s">
        <v>146</v>
      </c>
      <c r="O4" s="68">
        <f>'Тепл баланс'!F6</f>
        <v>7.4</v>
      </c>
    </row>
    <row r="5" spans="1:15" ht="31.2" x14ac:dyDescent="0.3">
      <c r="A5" s="43">
        <f t="shared" ref="A5:A37" si="0">A4+1</f>
        <v>2</v>
      </c>
      <c r="B5" s="70" t="s">
        <v>63</v>
      </c>
      <c r="C5" s="41" t="s">
        <v>152</v>
      </c>
      <c r="D5" s="69" t="s">
        <v>151</v>
      </c>
      <c r="E5" s="53" t="s">
        <v>146</v>
      </c>
      <c r="F5" s="68">
        <f>'Промежуточный расчет'!F12</f>
        <v>5</v>
      </c>
      <c r="G5" s="64"/>
      <c r="H5" s="31"/>
      <c r="I5" s="63"/>
      <c r="J5" s="43">
        <f t="shared" ref="J5:J37" si="1">J4+1</f>
        <v>2</v>
      </c>
      <c r="K5" s="70" t="s">
        <v>322</v>
      </c>
      <c r="L5" s="41" t="s">
        <v>152</v>
      </c>
      <c r="M5" s="69" t="s">
        <v>151</v>
      </c>
      <c r="N5" s="53" t="s">
        <v>146</v>
      </c>
      <c r="O5" s="68">
        <v>0</v>
      </c>
    </row>
    <row r="6" spans="1:15" ht="46.8" x14ac:dyDescent="0.3">
      <c r="A6" s="43">
        <f t="shared" si="0"/>
        <v>3</v>
      </c>
      <c r="B6" s="66" t="s">
        <v>150</v>
      </c>
      <c r="C6" s="41" t="s">
        <v>149</v>
      </c>
      <c r="D6" s="41" t="s">
        <v>99</v>
      </c>
      <c r="E6" s="67" t="s">
        <v>146</v>
      </c>
      <c r="F6" s="53"/>
      <c r="G6" s="64"/>
      <c r="H6" s="31"/>
      <c r="I6" s="63"/>
      <c r="J6" s="43">
        <f t="shared" si="1"/>
        <v>3</v>
      </c>
      <c r="K6" s="66" t="s">
        <v>150</v>
      </c>
      <c r="L6" s="41" t="s">
        <v>149</v>
      </c>
      <c r="M6" s="41" t="s">
        <v>99</v>
      </c>
      <c r="N6" s="67" t="s">
        <v>146</v>
      </c>
      <c r="O6" s="53"/>
    </row>
    <row r="7" spans="1:15" ht="46.8" x14ac:dyDescent="0.3">
      <c r="A7" s="43">
        <f t="shared" si="0"/>
        <v>4</v>
      </c>
      <c r="B7" s="66" t="s">
        <v>148</v>
      </c>
      <c r="C7" s="41" t="s">
        <v>147</v>
      </c>
      <c r="D7" s="41" t="s">
        <v>141</v>
      </c>
      <c r="E7" s="67" t="s">
        <v>146</v>
      </c>
      <c r="F7" s="53"/>
      <c r="G7" s="64"/>
      <c r="H7" s="31"/>
      <c r="I7" s="63"/>
      <c r="J7" s="43">
        <f t="shared" si="1"/>
        <v>4</v>
      </c>
      <c r="K7" s="66" t="s">
        <v>148</v>
      </c>
      <c r="L7" s="41" t="s">
        <v>147</v>
      </c>
      <c r="M7" s="41" t="s">
        <v>141</v>
      </c>
      <c r="N7" s="67" t="s">
        <v>146</v>
      </c>
      <c r="O7" s="53"/>
    </row>
    <row r="8" spans="1:15" ht="53.25" customHeight="1" x14ac:dyDescent="0.3">
      <c r="A8" s="43">
        <f t="shared" si="0"/>
        <v>5</v>
      </c>
      <c r="B8" s="66" t="s">
        <v>145</v>
      </c>
      <c r="C8" s="41" t="s">
        <v>144</v>
      </c>
      <c r="D8" s="41" t="s">
        <v>141</v>
      </c>
      <c r="F8" s="62">
        <f>U77</f>
        <v>0.74690115026100012</v>
      </c>
      <c r="G8" s="64"/>
      <c r="H8" s="31"/>
      <c r="I8" s="63"/>
      <c r="J8" s="43">
        <f t="shared" si="1"/>
        <v>5</v>
      </c>
      <c r="K8" s="66" t="s">
        <v>145</v>
      </c>
      <c r="L8" s="41" t="s">
        <v>144</v>
      </c>
      <c r="M8" s="41" t="s">
        <v>141</v>
      </c>
      <c r="O8" s="62">
        <f>U77</f>
        <v>0.74690115026100012</v>
      </c>
    </row>
    <row r="9" spans="1:15" ht="31.2" x14ac:dyDescent="0.3">
      <c r="A9" s="43">
        <f t="shared" si="0"/>
        <v>6</v>
      </c>
      <c r="B9" s="66" t="s">
        <v>143</v>
      </c>
      <c r="C9" s="41" t="s">
        <v>142</v>
      </c>
      <c r="D9" s="41" t="s">
        <v>141</v>
      </c>
      <c r="E9" s="50" t="s">
        <v>140</v>
      </c>
      <c r="F9" s="53">
        <f>ROUND(F8*(F4+0.101325)/0.1*(293.15/(273.15+F5))*1/F37,2)</f>
        <v>221.31</v>
      </c>
      <c r="G9" s="64"/>
      <c r="H9" s="31"/>
      <c r="I9" s="63"/>
      <c r="J9" s="43">
        <f t="shared" si="1"/>
        <v>6</v>
      </c>
      <c r="K9" s="66" t="s">
        <v>143</v>
      </c>
      <c r="L9" s="41" t="s">
        <v>142</v>
      </c>
      <c r="M9" s="41" t="s">
        <v>141</v>
      </c>
      <c r="N9" s="50" t="s">
        <v>140</v>
      </c>
      <c r="O9" s="53">
        <f>O8*(O4+0.101325)/0.1*(293.15/(273.15+O5))*1/O37</f>
        <v>77.286309528879698</v>
      </c>
    </row>
    <row r="10" spans="1:15" ht="26.4" customHeight="1" x14ac:dyDescent="0.35">
      <c r="A10" s="43">
        <f t="shared" si="0"/>
        <v>7</v>
      </c>
      <c r="B10" s="66"/>
      <c r="C10" s="41"/>
      <c r="D10" s="41"/>
      <c r="E10" s="51"/>
      <c r="F10" s="53"/>
      <c r="G10" s="64"/>
      <c r="H10" s="31"/>
      <c r="I10" s="63"/>
      <c r="J10" s="43">
        <f t="shared" si="1"/>
        <v>7</v>
      </c>
      <c r="K10" s="66"/>
      <c r="L10" s="41"/>
      <c r="M10" s="41"/>
      <c r="N10" s="51"/>
      <c r="O10" s="53"/>
    </row>
    <row r="11" spans="1:15" ht="37.200000000000003" customHeight="1" x14ac:dyDescent="0.3">
      <c r="A11" s="43">
        <f t="shared" si="0"/>
        <v>8</v>
      </c>
      <c r="B11" s="42"/>
      <c r="C11" s="41"/>
      <c r="D11" s="41"/>
      <c r="E11" s="65"/>
      <c r="F11" s="53"/>
      <c r="G11" s="64"/>
      <c r="H11" s="31"/>
      <c r="I11" s="63"/>
      <c r="J11" s="43">
        <f t="shared" si="1"/>
        <v>8</v>
      </c>
      <c r="K11" s="42"/>
      <c r="L11" s="41"/>
      <c r="M11" s="41"/>
      <c r="N11" s="65"/>
      <c r="O11" s="53"/>
    </row>
    <row r="12" spans="1:15" ht="45" customHeight="1" x14ac:dyDescent="0.3">
      <c r="A12" s="43">
        <f t="shared" si="0"/>
        <v>9</v>
      </c>
      <c r="B12" s="42" t="s">
        <v>139</v>
      </c>
      <c r="C12" s="41" t="s">
        <v>82</v>
      </c>
      <c r="D12" s="50" t="s">
        <v>138</v>
      </c>
      <c r="E12" s="61"/>
      <c r="F12" s="62">
        <f>Q77</f>
        <v>17.887545126660005</v>
      </c>
      <c r="G12" s="56"/>
      <c r="H12" s="31"/>
      <c r="I12" s="63"/>
      <c r="J12" s="43">
        <f t="shared" si="1"/>
        <v>9</v>
      </c>
      <c r="K12" s="42" t="s">
        <v>139</v>
      </c>
      <c r="L12" s="41" t="s">
        <v>82</v>
      </c>
      <c r="M12" s="50" t="s">
        <v>138</v>
      </c>
      <c r="N12" s="61"/>
      <c r="O12" s="62">
        <f>Q77</f>
        <v>17.887545126660005</v>
      </c>
    </row>
    <row r="13" spans="1:15" ht="51" customHeight="1" x14ac:dyDescent="0.3">
      <c r="A13" s="43">
        <f t="shared" si="0"/>
        <v>10</v>
      </c>
      <c r="B13" s="42" t="s">
        <v>103</v>
      </c>
      <c r="C13" s="41" t="s">
        <v>137</v>
      </c>
      <c r="D13" s="50" t="s">
        <v>99</v>
      </c>
      <c r="E13" s="61"/>
      <c r="F13" s="53">
        <f>ROUND(8.3143/F12,3)</f>
        <v>0.46500000000000002</v>
      </c>
      <c r="G13" s="64"/>
      <c r="H13" s="31"/>
      <c r="I13" s="63"/>
      <c r="J13" s="43">
        <f t="shared" si="1"/>
        <v>10</v>
      </c>
      <c r="K13" s="42" t="s">
        <v>103</v>
      </c>
      <c r="L13" s="41" t="s">
        <v>137</v>
      </c>
      <c r="M13" s="50" t="s">
        <v>99</v>
      </c>
      <c r="N13" s="61"/>
      <c r="O13" s="53">
        <f>8.3143/O12</f>
        <v>0.46480944931946966</v>
      </c>
    </row>
    <row r="14" spans="1:15" ht="51" customHeight="1" x14ac:dyDescent="0.3">
      <c r="A14" s="43">
        <f t="shared" si="0"/>
        <v>11</v>
      </c>
      <c r="B14" s="42" t="s">
        <v>136</v>
      </c>
      <c r="C14" s="41" t="s">
        <v>135</v>
      </c>
      <c r="D14" s="50" t="s">
        <v>99</v>
      </c>
      <c r="E14" s="61"/>
      <c r="F14" s="62">
        <f>O77</f>
        <v>4.6156976291800005</v>
      </c>
      <c r="G14" s="64"/>
      <c r="H14" s="31"/>
      <c r="I14" s="63"/>
      <c r="J14" s="43">
        <f t="shared" si="1"/>
        <v>11</v>
      </c>
      <c r="K14" s="42" t="s">
        <v>136</v>
      </c>
      <c r="L14" s="41" t="s">
        <v>135</v>
      </c>
      <c r="M14" s="50" t="s">
        <v>99</v>
      </c>
      <c r="N14" s="61"/>
      <c r="O14" s="62">
        <f>O77</f>
        <v>4.6156976291800005</v>
      </c>
    </row>
    <row r="15" spans="1:15" ht="52.5" customHeight="1" x14ac:dyDescent="0.25">
      <c r="A15" s="43">
        <f t="shared" si="0"/>
        <v>12</v>
      </c>
      <c r="B15" s="42" t="s">
        <v>134</v>
      </c>
      <c r="C15" s="41" t="s">
        <v>133</v>
      </c>
      <c r="D15" s="50" t="s">
        <v>99</v>
      </c>
      <c r="E15" s="61"/>
      <c r="F15" s="60">
        <f>M77</f>
        <v>202.09822224320004</v>
      </c>
      <c r="G15" s="59"/>
      <c r="H15" s="59"/>
      <c r="I15" s="31"/>
      <c r="J15" s="43">
        <f t="shared" si="1"/>
        <v>12</v>
      </c>
      <c r="K15" s="42" t="s">
        <v>134</v>
      </c>
      <c r="L15" s="41" t="s">
        <v>133</v>
      </c>
      <c r="M15" s="50" t="s">
        <v>99</v>
      </c>
      <c r="N15" s="61"/>
      <c r="O15" s="60">
        <f>M77</f>
        <v>202.09822224320004</v>
      </c>
    </row>
    <row r="16" spans="1:15" ht="48" customHeight="1" x14ac:dyDescent="0.25">
      <c r="A16" s="43">
        <f t="shared" si="0"/>
        <v>13</v>
      </c>
      <c r="B16" s="42" t="s">
        <v>103</v>
      </c>
      <c r="C16" s="41" t="s">
        <v>132</v>
      </c>
      <c r="D16" s="50" t="s">
        <v>99</v>
      </c>
      <c r="E16" s="39"/>
      <c r="F16" s="58">
        <f>ROUND((F4+0.101325)/F14,2)</f>
        <v>4.3499999999999996</v>
      </c>
      <c r="G16" s="59"/>
      <c r="H16" s="59"/>
      <c r="I16" s="31"/>
      <c r="J16" s="43">
        <f t="shared" si="1"/>
        <v>13</v>
      </c>
      <c r="K16" s="42" t="s">
        <v>103</v>
      </c>
      <c r="L16" s="41" t="s">
        <v>132</v>
      </c>
      <c r="M16" s="50" t="s">
        <v>99</v>
      </c>
      <c r="N16" s="39"/>
      <c r="O16" s="58">
        <f>(O4+0.101325)/O14</f>
        <v>1.6251768643979922</v>
      </c>
    </row>
    <row r="17" spans="1:15" ht="45" customHeight="1" x14ac:dyDescent="0.25">
      <c r="A17" s="43">
        <f t="shared" si="0"/>
        <v>14</v>
      </c>
      <c r="B17" s="42" t="s">
        <v>103</v>
      </c>
      <c r="C17" s="41" t="s">
        <v>131</v>
      </c>
      <c r="D17" s="50" t="s">
        <v>99</v>
      </c>
      <c r="E17" s="39"/>
      <c r="F17" s="45">
        <f>ROUND((273.15+F5)/F15,2)</f>
        <v>1.38</v>
      </c>
      <c r="G17" s="57"/>
      <c r="H17" s="56"/>
      <c r="I17" s="56"/>
      <c r="J17" s="43">
        <f t="shared" si="1"/>
        <v>14</v>
      </c>
      <c r="K17" s="42" t="s">
        <v>103</v>
      </c>
      <c r="L17" s="41" t="s">
        <v>131</v>
      </c>
      <c r="M17" s="50" t="s">
        <v>99</v>
      </c>
      <c r="N17" s="39"/>
      <c r="O17" s="45">
        <f>(273.15+O5)/O15</f>
        <v>1.3515705233235449</v>
      </c>
    </row>
    <row r="18" spans="1:15" ht="51" customHeight="1" x14ac:dyDescent="0.25">
      <c r="A18" s="43">
        <f t="shared" si="0"/>
        <v>15</v>
      </c>
      <c r="B18" s="42" t="s">
        <v>103</v>
      </c>
      <c r="C18" s="41" t="s">
        <v>130</v>
      </c>
      <c r="D18" s="50" t="s">
        <v>99</v>
      </c>
      <c r="E18" s="39"/>
      <c r="F18" s="45">
        <f>4.437-1.015*F17+0.591*F17^2</f>
        <v>4.1618004000000006</v>
      </c>
      <c r="G18" s="37"/>
      <c r="H18" s="37"/>
      <c r="I18" s="37"/>
      <c r="J18" s="43">
        <f t="shared" si="1"/>
        <v>15</v>
      </c>
      <c r="K18" s="42" t="s">
        <v>103</v>
      </c>
      <c r="L18" s="41" t="s">
        <v>130</v>
      </c>
      <c r="M18" s="50" t="s">
        <v>99</v>
      </c>
      <c r="N18" s="39"/>
      <c r="O18" s="45">
        <f>4.437-1.015*O17+0.591*O17^2</f>
        <v>4.1447609606211966</v>
      </c>
    </row>
    <row r="19" spans="1:15" ht="45" customHeight="1" x14ac:dyDescent="0.25">
      <c r="A19" s="43">
        <f t="shared" si="0"/>
        <v>16</v>
      </c>
      <c r="B19" s="42" t="s">
        <v>103</v>
      </c>
      <c r="C19" s="41" t="s">
        <v>129</v>
      </c>
      <c r="D19" s="46" t="s">
        <v>99</v>
      </c>
      <c r="E19" s="39"/>
      <c r="F19" s="45">
        <f>3.29-11.37/F17+10.9/F17^2</f>
        <v>0.77445704683889982</v>
      </c>
      <c r="G19" s="37"/>
      <c r="H19" s="37"/>
      <c r="I19" s="37"/>
      <c r="J19" s="43">
        <f t="shared" si="1"/>
        <v>16</v>
      </c>
      <c r="K19" s="42" t="s">
        <v>103</v>
      </c>
      <c r="L19" s="41" t="s">
        <v>129</v>
      </c>
      <c r="M19" s="46" t="s">
        <v>99</v>
      </c>
      <c r="N19" s="39"/>
      <c r="O19" s="45">
        <f>3.29-11.37/O17+10.9/O17^2</f>
        <v>0.84446872119753547</v>
      </c>
    </row>
    <row r="20" spans="1:15" ht="54.75" customHeight="1" x14ac:dyDescent="0.25">
      <c r="A20" s="43">
        <f t="shared" si="0"/>
        <v>17</v>
      </c>
      <c r="B20" s="42" t="s">
        <v>103</v>
      </c>
      <c r="C20" s="41" t="s">
        <v>128</v>
      </c>
      <c r="D20" s="46" t="s">
        <v>99</v>
      </c>
      <c r="E20" s="39"/>
      <c r="F20" s="45">
        <f>3.23-16.27/(F17)+25.48/(F17^2)-11.81/(F17^3)</f>
        <v>0.32589843809454422</v>
      </c>
      <c r="G20" s="37"/>
      <c r="H20" s="37"/>
      <c r="I20" s="37"/>
      <c r="J20" s="43">
        <f t="shared" si="1"/>
        <v>17</v>
      </c>
      <c r="K20" s="42" t="s">
        <v>103</v>
      </c>
      <c r="L20" s="41" t="s">
        <v>128</v>
      </c>
      <c r="M20" s="46" t="s">
        <v>99</v>
      </c>
      <c r="N20" s="39"/>
      <c r="O20" s="45">
        <f>3.23-16.27/(O17)+25.48/(O17^2)-11.81/(O17^3)</f>
        <v>0.35710787936585664</v>
      </c>
    </row>
    <row r="21" spans="1:15" ht="55.5" customHeight="1" x14ac:dyDescent="0.25">
      <c r="A21" s="43">
        <f t="shared" si="0"/>
        <v>18</v>
      </c>
      <c r="B21" s="42" t="s">
        <v>103</v>
      </c>
      <c r="C21" s="41" t="s">
        <v>127</v>
      </c>
      <c r="D21" s="46" t="s">
        <v>99</v>
      </c>
      <c r="E21" s="39"/>
      <c r="F21" s="45">
        <f>-0.214+0.908/F17-0.967/(F17^2)</f>
        <v>-6.380046208779655E-2</v>
      </c>
      <c r="G21" s="35"/>
      <c r="H21" s="35"/>
      <c r="I21" s="35"/>
      <c r="J21" s="43">
        <f t="shared" si="1"/>
        <v>18</v>
      </c>
      <c r="K21" s="42" t="s">
        <v>103</v>
      </c>
      <c r="L21" s="41" t="s">
        <v>127</v>
      </c>
      <c r="M21" s="46" t="s">
        <v>99</v>
      </c>
      <c r="N21" s="39"/>
      <c r="O21" s="45">
        <f>-0.214+0.908/O17-0.967/(O17^2)</f>
        <v>-7.1546435190390723E-2</v>
      </c>
    </row>
    <row r="22" spans="1:15" ht="45" customHeight="1" x14ac:dyDescent="0.25">
      <c r="A22" s="43">
        <f t="shared" si="0"/>
        <v>19</v>
      </c>
      <c r="B22" s="42" t="s">
        <v>125</v>
      </c>
      <c r="C22" s="41" t="s">
        <v>124</v>
      </c>
      <c r="D22" s="55" t="s">
        <v>126</v>
      </c>
      <c r="F22" s="53">
        <f>ROUND(F13*(F18+F19*F16+F20*F16^2+F21*F16^3),2)</f>
        <v>3.93</v>
      </c>
      <c r="G22" s="37"/>
      <c r="H22" s="37"/>
      <c r="I22" s="37"/>
      <c r="J22" s="43">
        <f t="shared" si="1"/>
        <v>19</v>
      </c>
      <c r="K22" s="42" t="s">
        <v>125</v>
      </c>
      <c r="L22" s="41" t="s">
        <v>124</v>
      </c>
      <c r="M22" s="55" t="s">
        <v>126</v>
      </c>
      <c r="O22" s="53">
        <f>(O13*(O18+O19*O16+O20*O16^2+O21*O16^3))</f>
        <v>2.8600925263189065</v>
      </c>
    </row>
    <row r="23" spans="1:15" ht="38.4" customHeight="1" x14ac:dyDescent="0.25">
      <c r="A23" s="43">
        <f t="shared" si="0"/>
        <v>20</v>
      </c>
      <c r="B23" s="42" t="s">
        <v>125</v>
      </c>
      <c r="C23" s="41" t="s">
        <v>124</v>
      </c>
      <c r="D23" s="55" t="s">
        <v>123</v>
      </c>
      <c r="E23" s="54" t="s">
        <v>99</v>
      </c>
      <c r="F23" s="53">
        <f>ROUND(F22/4.19*F8,3)</f>
        <v>0.70099999999999996</v>
      </c>
      <c r="G23" s="37"/>
      <c r="H23" s="37"/>
      <c r="I23" s="37"/>
      <c r="J23" s="43">
        <f t="shared" si="1"/>
        <v>20</v>
      </c>
      <c r="K23" s="42" t="s">
        <v>125</v>
      </c>
      <c r="L23" s="41" t="s">
        <v>124</v>
      </c>
      <c r="M23" s="55" t="s">
        <v>123</v>
      </c>
      <c r="N23" s="54" t="s">
        <v>99</v>
      </c>
      <c r="O23" s="53">
        <f>O22/4.19*O8</f>
        <v>0.5098344624726685</v>
      </c>
    </row>
    <row r="24" spans="1:15" ht="44.4" customHeight="1" x14ac:dyDescent="0.35">
      <c r="A24" s="43">
        <f t="shared" si="0"/>
        <v>21</v>
      </c>
      <c r="B24" s="42" t="s">
        <v>103</v>
      </c>
      <c r="C24" s="41" t="s">
        <v>122</v>
      </c>
      <c r="D24" s="51" t="s">
        <v>116</v>
      </c>
      <c r="E24" s="39"/>
      <c r="F24" s="45">
        <f>H23</f>
        <v>0</v>
      </c>
      <c r="G24" s="52"/>
      <c r="H24" s="52"/>
      <c r="I24" s="52"/>
      <c r="J24" s="43">
        <f t="shared" si="1"/>
        <v>21</v>
      </c>
      <c r="K24" s="42" t="s">
        <v>103</v>
      </c>
      <c r="L24" s="41" t="s">
        <v>122</v>
      </c>
      <c r="M24" s="51" t="s">
        <v>116</v>
      </c>
      <c r="N24" s="39"/>
      <c r="O24" s="45">
        <f>(1.81+5.95*O17)*10^(-6)</f>
        <v>9.851844613775093E-6</v>
      </c>
    </row>
    <row r="25" spans="1:15" ht="51" customHeight="1" x14ac:dyDescent="0.25">
      <c r="A25" s="43">
        <f t="shared" si="0"/>
        <v>22</v>
      </c>
      <c r="B25" s="42" t="s">
        <v>103</v>
      </c>
      <c r="C25" s="41" t="s">
        <v>121</v>
      </c>
      <c r="D25" s="46" t="s">
        <v>99</v>
      </c>
      <c r="E25" s="39"/>
      <c r="F25" s="45">
        <f>-0.67+2.36/F17-1.93/F17^2</f>
        <v>2.6702373450955719E-2</v>
      </c>
      <c r="G25" s="37"/>
      <c r="H25" s="37"/>
      <c r="I25" s="37"/>
      <c r="J25" s="43">
        <f t="shared" si="1"/>
        <v>22</v>
      </c>
      <c r="K25" s="42" t="s">
        <v>103</v>
      </c>
      <c r="L25" s="41" t="s">
        <v>121</v>
      </c>
      <c r="M25" s="46" t="s">
        <v>99</v>
      </c>
      <c r="N25" s="39"/>
      <c r="O25" s="45">
        <f>-0.67+2.36/O17-1.93/O17^2</f>
        <v>1.9591539766440791E-2</v>
      </c>
    </row>
    <row r="26" spans="1:15" ht="50.25" customHeight="1" x14ac:dyDescent="0.25">
      <c r="A26" s="43">
        <f t="shared" si="0"/>
        <v>23</v>
      </c>
      <c r="B26" s="42" t="s">
        <v>103</v>
      </c>
      <c r="C26" s="41" t="s">
        <v>120</v>
      </c>
      <c r="D26" s="46" t="s">
        <v>99</v>
      </c>
      <c r="E26" s="39"/>
      <c r="F26" s="45">
        <f>0.8-2.89/F17+2.65/F17^2</f>
        <v>9.7311489182944522E-2</v>
      </c>
      <c r="G26" s="37"/>
      <c r="H26" s="37"/>
      <c r="I26" s="37"/>
      <c r="J26" s="43">
        <f t="shared" si="1"/>
        <v>23</v>
      </c>
      <c r="K26" s="42" t="s">
        <v>103</v>
      </c>
      <c r="L26" s="41" t="s">
        <v>120</v>
      </c>
      <c r="M26" s="46" t="s">
        <v>99</v>
      </c>
      <c r="N26" s="39"/>
      <c r="O26" s="45">
        <f>0.8-2.89/O17+2.65/O17^2</f>
        <v>0.11241619907827838</v>
      </c>
    </row>
    <row r="27" spans="1:15" ht="47.25" customHeight="1" x14ac:dyDescent="0.25">
      <c r="A27" s="43">
        <f t="shared" si="0"/>
        <v>24</v>
      </c>
      <c r="B27" s="42" t="s">
        <v>103</v>
      </c>
      <c r="C27" s="41" t="s">
        <v>119</v>
      </c>
      <c r="D27" s="46" t="s">
        <v>99</v>
      </c>
      <c r="E27" s="39"/>
      <c r="F27" s="45">
        <f>-0.1+0.354/F17-0.314/F17^2</f>
        <v>-8.3595883217811584E-3</v>
      </c>
      <c r="G27" s="37"/>
      <c r="H27" s="37"/>
      <c r="I27" s="37"/>
      <c r="J27" s="43">
        <f t="shared" si="1"/>
        <v>24</v>
      </c>
      <c r="K27" s="42" t="s">
        <v>103</v>
      </c>
      <c r="L27" s="41" t="s">
        <v>119</v>
      </c>
      <c r="M27" s="46" t="s">
        <v>99</v>
      </c>
      <c r="N27" s="39"/>
      <c r="O27" s="45">
        <f>-0.1+0.354/O17-0.314/O17^2</f>
        <v>-9.9731182201128477E-3</v>
      </c>
    </row>
    <row r="28" spans="1:15" ht="41.4" customHeight="1" x14ac:dyDescent="0.25">
      <c r="A28" s="43">
        <f t="shared" si="0"/>
        <v>25</v>
      </c>
      <c r="B28" s="42" t="s">
        <v>118</v>
      </c>
      <c r="C28" s="41" t="s">
        <v>117</v>
      </c>
      <c r="D28" s="50" t="s">
        <v>116</v>
      </c>
      <c r="E28" s="49"/>
      <c r="F28" s="45">
        <f>F24*(1+F25*F16+F26*F16^2+F27*F16^3)</f>
        <v>0</v>
      </c>
      <c r="G28" s="37"/>
      <c r="H28" s="37"/>
      <c r="I28" s="37"/>
      <c r="J28" s="43">
        <f t="shared" si="1"/>
        <v>25</v>
      </c>
      <c r="K28" s="42" t="s">
        <v>118</v>
      </c>
      <c r="L28" s="41" t="s">
        <v>117</v>
      </c>
      <c r="M28" s="50" t="s">
        <v>116</v>
      </c>
      <c r="N28" s="49"/>
      <c r="O28" s="45">
        <f>O24*(1+O25*O16+O26*O16^2+O27*O16^3)</f>
        <v>1.2668926216636575E-5</v>
      </c>
    </row>
    <row r="29" spans="1:15" ht="31.35" customHeight="1" x14ac:dyDescent="0.25">
      <c r="A29" s="43">
        <f t="shared" si="0"/>
        <v>26</v>
      </c>
      <c r="B29" s="42" t="s">
        <v>115</v>
      </c>
      <c r="C29" s="41" t="s">
        <v>114</v>
      </c>
      <c r="D29" s="46" t="s">
        <v>113</v>
      </c>
      <c r="E29" s="48" t="s">
        <v>112</v>
      </c>
      <c r="F29" s="45">
        <f>F28/F9</f>
        <v>0</v>
      </c>
      <c r="G29" s="37"/>
      <c r="H29" s="37"/>
      <c r="I29" s="37"/>
      <c r="J29" s="43">
        <f t="shared" si="1"/>
        <v>26</v>
      </c>
      <c r="K29" s="42" t="s">
        <v>115</v>
      </c>
      <c r="L29" s="41" t="s">
        <v>114</v>
      </c>
      <c r="M29" s="46" t="s">
        <v>113</v>
      </c>
      <c r="N29" s="48" t="s">
        <v>112</v>
      </c>
      <c r="O29" s="45">
        <f>O28/O9</f>
        <v>1.6392199723163852E-7</v>
      </c>
    </row>
    <row r="30" spans="1:15" ht="31.95" customHeight="1" x14ac:dyDescent="0.25">
      <c r="A30" s="43">
        <f t="shared" si="0"/>
        <v>27</v>
      </c>
      <c r="B30" s="42" t="s">
        <v>103</v>
      </c>
      <c r="C30" s="41" t="s">
        <v>111</v>
      </c>
      <c r="D30" s="46" t="s">
        <v>99</v>
      </c>
      <c r="E30" s="39"/>
      <c r="F30" s="45">
        <f>ROUND(24.96-20.3*F17+4.57*F17^2,2)</f>
        <v>5.65</v>
      </c>
      <c r="G30" s="37"/>
      <c r="H30" s="37"/>
      <c r="I30" s="37"/>
      <c r="J30" s="43">
        <f t="shared" si="1"/>
        <v>27</v>
      </c>
      <c r="K30" s="42" t="s">
        <v>103</v>
      </c>
      <c r="L30" s="41" t="s">
        <v>111</v>
      </c>
      <c r="M30" s="46" t="s">
        <v>99</v>
      </c>
      <c r="N30" s="39"/>
      <c r="O30" s="45">
        <f>24.96-20.3*O17+4.57*O17^2</f>
        <v>5.871333335925101</v>
      </c>
    </row>
    <row r="31" spans="1:15" ht="45.75" customHeight="1" x14ac:dyDescent="0.25">
      <c r="A31" s="43">
        <f t="shared" si="0"/>
        <v>28</v>
      </c>
      <c r="B31" s="42" t="s">
        <v>103</v>
      </c>
      <c r="C31" s="41" t="s">
        <v>110</v>
      </c>
      <c r="D31" s="46" t="s">
        <v>99</v>
      </c>
      <c r="E31" s="39"/>
      <c r="F31" s="45">
        <f>ROUND(5.66-19.92/F17+16.89/F17^2,2)</f>
        <v>0.09</v>
      </c>
      <c r="G31" s="37"/>
      <c r="H31" s="37"/>
      <c r="I31" s="37"/>
      <c r="J31" s="43">
        <f t="shared" si="1"/>
        <v>28</v>
      </c>
      <c r="K31" s="42" t="s">
        <v>103</v>
      </c>
      <c r="L31" s="41" t="s">
        <v>110</v>
      </c>
      <c r="M31" s="46" t="s">
        <v>99</v>
      </c>
      <c r="N31" s="39"/>
      <c r="O31" s="45">
        <f>5.66-19.92/O17+16.89/O17^2</f>
        <v>0.16755498373289335</v>
      </c>
    </row>
    <row r="32" spans="1:15" ht="39.6" customHeight="1" x14ac:dyDescent="0.25">
      <c r="A32" s="43">
        <f t="shared" si="0"/>
        <v>29</v>
      </c>
      <c r="B32" s="42" t="s">
        <v>103</v>
      </c>
      <c r="C32" s="41" t="s">
        <v>109</v>
      </c>
      <c r="D32" s="46" t="s">
        <v>99</v>
      </c>
      <c r="E32" s="39"/>
      <c r="F32" s="45">
        <f>ROUND(-4.11+14.68/F17-13.39/F17^2,2)</f>
        <v>-0.5</v>
      </c>
      <c r="G32" s="37"/>
      <c r="H32" s="37"/>
      <c r="I32" s="37"/>
      <c r="J32" s="43">
        <f t="shared" si="1"/>
        <v>29</v>
      </c>
      <c r="K32" s="42" t="s">
        <v>103</v>
      </c>
      <c r="L32" s="41" t="s">
        <v>109</v>
      </c>
      <c r="M32" s="46" t="s">
        <v>99</v>
      </c>
      <c r="N32" s="39"/>
      <c r="O32" s="45">
        <f>-4.11+14.68/O17-13.39/O17^2</f>
        <v>-0.57854773338706345</v>
      </c>
    </row>
    <row r="33" spans="1:24" ht="53.25" customHeight="1" x14ac:dyDescent="0.25">
      <c r="A33" s="43">
        <f t="shared" si="0"/>
        <v>30</v>
      </c>
      <c r="B33" s="42" t="s">
        <v>103</v>
      </c>
      <c r="C33" s="41" t="s">
        <v>108</v>
      </c>
      <c r="D33" s="46" t="s">
        <v>99</v>
      </c>
      <c r="E33" s="39"/>
      <c r="F33" s="45">
        <f>0.568-2/F17+1.79/F17^2</f>
        <v>5.8653224112581337E-2</v>
      </c>
      <c r="G33" s="37"/>
      <c r="H33" s="37"/>
      <c r="I33" s="37"/>
      <c r="J33" s="43">
        <f t="shared" si="1"/>
        <v>30</v>
      </c>
      <c r="K33" s="42" t="s">
        <v>103</v>
      </c>
      <c r="L33" s="41" t="s">
        <v>108</v>
      </c>
      <c r="M33" s="46" t="s">
        <v>99</v>
      </c>
      <c r="N33" s="39"/>
      <c r="O33" s="45">
        <f>0.568-2/O17+1.79/O17^2</f>
        <v>6.8126122353635021E-2</v>
      </c>
    </row>
    <row r="34" spans="1:24" ht="42" customHeight="1" x14ac:dyDescent="0.25">
      <c r="A34" s="43">
        <f t="shared" si="0"/>
        <v>31</v>
      </c>
      <c r="B34" s="42" t="s">
        <v>107</v>
      </c>
      <c r="C34" s="41" t="s">
        <v>106</v>
      </c>
      <c r="D34" s="46" t="s">
        <v>105</v>
      </c>
      <c r="E34" s="39"/>
      <c r="F34" s="38">
        <f>ROUND(F30+F31*F16+F32*F16^2+F33*F16^3,2)</f>
        <v>1.41</v>
      </c>
      <c r="G34" s="37"/>
      <c r="H34" s="37"/>
      <c r="I34" s="37"/>
      <c r="J34" s="43">
        <f t="shared" si="1"/>
        <v>31</v>
      </c>
      <c r="K34" s="42" t="s">
        <v>107</v>
      </c>
      <c r="L34" s="41" t="s">
        <v>106</v>
      </c>
      <c r="M34" s="46" t="s">
        <v>105</v>
      </c>
      <c r="N34" s="39"/>
      <c r="O34" s="38">
        <f>(O30+O31*O16+O32*O16^2+O33*O16^3)*1.1</f>
        <v>5.398805890549764</v>
      </c>
    </row>
    <row r="35" spans="1:24" ht="39.75" customHeight="1" x14ac:dyDescent="0.25">
      <c r="A35" s="43">
        <f t="shared" si="0"/>
        <v>32</v>
      </c>
      <c r="B35" s="42" t="s">
        <v>103</v>
      </c>
      <c r="C35" s="41" t="s">
        <v>104</v>
      </c>
      <c r="D35" s="46" t="s">
        <v>99</v>
      </c>
      <c r="E35" s="39"/>
      <c r="F35" s="45">
        <f>-0.39+2.03/F17-3.16/F17^2+1.09/F17^3</f>
        <v>-0.16354806108812903</v>
      </c>
      <c r="G35" s="47"/>
      <c r="H35" s="36"/>
      <c r="I35" s="36"/>
      <c r="J35" s="43">
        <f t="shared" si="1"/>
        <v>32</v>
      </c>
      <c r="K35" s="42" t="s">
        <v>103</v>
      </c>
      <c r="L35" s="41" t="s">
        <v>104</v>
      </c>
      <c r="M35" s="46" t="s">
        <v>99</v>
      </c>
      <c r="N35" s="39"/>
      <c r="O35" s="45">
        <f>-0.39+2.03/O17-3.16/O17^2+1.09/O17^3</f>
        <v>-0.17641911366287977</v>
      </c>
    </row>
    <row r="36" spans="1:24" ht="42" customHeight="1" x14ac:dyDescent="0.25">
      <c r="A36" s="43">
        <f t="shared" si="0"/>
        <v>33</v>
      </c>
      <c r="B36" s="42" t="s">
        <v>103</v>
      </c>
      <c r="C36" s="41" t="s">
        <v>102</v>
      </c>
      <c r="D36" s="46" t="s">
        <v>99</v>
      </c>
      <c r="E36" s="39"/>
      <c r="F36" s="45">
        <f>0.0423-0.1812/F17+0.2124/F17^2</f>
        <v>2.2526843100189056E-2</v>
      </c>
      <c r="G36" s="37"/>
      <c r="H36" s="37"/>
      <c r="I36" s="37"/>
      <c r="J36" s="43">
        <f t="shared" si="1"/>
        <v>33</v>
      </c>
      <c r="K36" s="42" t="s">
        <v>103</v>
      </c>
      <c r="L36" s="41" t="s">
        <v>102</v>
      </c>
      <c r="M36" s="46" t="s">
        <v>99</v>
      </c>
      <c r="N36" s="39"/>
      <c r="O36" s="45">
        <f>0.0423-0.1812/O17+0.2124/O17^2</f>
        <v>2.4506264937066979E-2</v>
      </c>
    </row>
    <row r="37" spans="1:24" ht="28.2" customHeight="1" x14ac:dyDescent="0.3">
      <c r="A37" s="43">
        <f t="shared" si="0"/>
        <v>34</v>
      </c>
      <c r="B37" s="42" t="s">
        <v>101</v>
      </c>
      <c r="C37" s="41" t="s">
        <v>100</v>
      </c>
      <c r="D37" s="40" t="s">
        <v>99</v>
      </c>
      <c r="E37" s="39"/>
      <c r="F37" s="38">
        <f>ROUND(1+F35*F16+F36*F16^2,3)</f>
        <v>0.71499999999999997</v>
      </c>
      <c r="G37" s="44"/>
      <c r="H37" s="44"/>
      <c r="I37" s="44"/>
      <c r="J37" s="43">
        <f t="shared" si="1"/>
        <v>34</v>
      </c>
      <c r="K37" s="42" t="s">
        <v>101</v>
      </c>
      <c r="L37" s="41" t="s">
        <v>100</v>
      </c>
      <c r="M37" s="40" t="s">
        <v>99</v>
      </c>
      <c r="N37" s="39"/>
      <c r="O37" s="38">
        <f>(1+O35*O16+O36*O16^2)</f>
        <v>0.77801368108234548</v>
      </c>
    </row>
    <row r="38" spans="1:24" ht="15" customHeight="1" x14ac:dyDescent="0.25">
      <c r="B38" s="35"/>
      <c r="C38" s="35"/>
      <c r="D38" s="35"/>
      <c r="E38" s="35"/>
      <c r="F38" s="35"/>
      <c r="G38" s="37"/>
      <c r="H38" s="37"/>
      <c r="I38" s="37"/>
    </row>
    <row r="39" spans="1:24" ht="17.399999999999999" customHeight="1" x14ac:dyDescent="0.25">
      <c r="B39" s="35"/>
      <c r="C39" s="35"/>
      <c r="D39" s="35"/>
      <c r="E39" s="35"/>
      <c r="F39" s="35"/>
      <c r="G39" s="37"/>
      <c r="H39" s="37"/>
      <c r="I39" s="37"/>
    </row>
    <row r="40" spans="1:24" ht="18" customHeight="1" x14ac:dyDescent="0.25">
      <c r="G40" s="37"/>
      <c r="H40" s="37"/>
      <c r="I40" s="37"/>
    </row>
    <row r="41" spans="1:24" ht="14.4" customHeight="1" x14ac:dyDescent="0.25">
      <c r="G41" s="37"/>
      <c r="H41" s="37"/>
      <c r="I41" s="37"/>
    </row>
    <row r="42" spans="1:24" ht="17.399999999999999" customHeight="1" x14ac:dyDescent="0.25">
      <c r="G42" s="36"/>
      <c r="H42" s="36"/>
      <c r="I42" s="36"/>
    </row>
    <row r="44" spans="1:24" ht="109.2" x14ac:dyDescent="0.25">
      <c r="A44" s="27" t="s">
        <v>98</v>
      </c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19"/>
      <c r="M44" s="19"/>
      <c r="N44" s="19"/>
      <c r="O44" s="19"/>
      <c r="P44" s="35"/>
      <c r="Q44" s="31"/>
      <c r="R44" s="31"/>
    </row>
    <row r="45" spans="1:24" ht="126" x14ac:dyDescent="0.25">
      <c r="A45" s="27" t="s">
        <v>1</v>
      </c>
      <c r="B45" s="27" t="s">
        <v>2</v>
      </c>
      <c r="C45" s="34" t="s">
        <v>3</v>
      </c>
      <c r="D45" s="34" t="s">
        <v>97</v>
      </c>
      <c r="E45" s="34" t="s">
        <v>96</v>
      </c>
      <c r="F45" s="34" t="s">
        <v>95</v>
      </c>
      <c r="G45" s="34" t="s">
        <v>94</v>
      </c>
      <c r="H45" s="27" t="s">
        <v>93</v>
      </c>
      <c r="I45" s="27" t="s">
        <v>92</v>
      </c>
      <c r="J45" s="27" t="s">
        <v>91</v>
      </c>
      <c r="K45" s="27" t="s">
        <v>90</v>
      </c>
      <c r="L45" s="19"/>
      <c r="M45" s="33" t="s">
        <v>89</v>
      </c>
      <c r="N45" s="19"/>
      <c r="O45" s="33" t="s">
        <v>88</v>
      </c>
      <c r="P45" s="19"/>
      <c r="Q45" s="33" t="s">
        <v>87</v>
      </c>
      <c r="R45" s="31"/>
      <c r="S45" s="33"/>
      <c r="U45" s="33"/>
      <c r="X45" s="33" t="s">
        <v>85</v>
      </c>
    </row>
    <row r="46" spans="1:24" ht="21" x14ac:dyDescent="0.25">
      <c r="A46" s="27"/>
      <c r="B46" s="27"/>
      <c r="C46" s="27"/>
      <c r="D46" s="34"/>
      <c r="E46" s="34"/>
      <c r="F46" s="34"/>
      <c r="G46" s="34"/>
      <c r="H46" s="27"/>
      <c r="I46" s="27"/>
      <c r="J46" s="27"/>
      <c r="K46" s="27"/>
      <c r="L46" s="19"/>
      <c r="M46" s="33"/>
      <c r="N46" s="19"/>
      <c r="O46" s="33"/>
      <c r="P46" s="19"/>
      <c r="Q46" s="33"/>
      <c r="R46" s="31"/>
      <c r="S46" s="33"/>
      <c r="U46" s="33"/>
      <c r="X46" s="33"/>
    </row>
    <row r="47" spans="1:24" ht="15.6" x14ac:dyDescent="0.25">
      <c r="A47" s="30" t="s">
        <v>4</v>
      </c>
      <c r="B47" s="27" t="s">
        <v>5</v>
      </c>
      <c r="C47" s="29">
        <f>'Исходные данные'!C13</f>
        <v>91.799000000000007</v>
      </c>
      <c r="D47" s="28">
        <f>C47/100</f>
        <v>0.91799000000000008</v>
      </c>
      <c r="E47" s="28">
        <f>D47/F47/$S$77</f>
        <v>0.91712867288919886</v>
      </c>
      <c r="F47" s="27">
        <v>0.99809999999999999</v>
      </c>
      <c r="G47" s="26">
        <v>16.042999999999999</v>
      </c>
      <c r="H47" s="25">
        <v>0.66820000000000002</v>
      </c>
      <c r="I47" s="24">
        <v>190.56</v>
      </c>
      <c r="J47" s="23">
        <v>4.5987999999999998</v>
      </c>
      <c r="K47" s="22">
        <v>111.65</v>
      </c>
      <c r="L47" s="19"/>
      <c r="M47" s="240">
        <f>D47*I47</f>
        <v>174.93217440000001</v>
      </c>
      <c r="N47" s="19"/>
      <c r="O47" s="16">
        <f>D47*J47</f>
        <v>4.2216524120000001</v>
      </c>
      <c r="P47" s="19"/>
      <c r="Q47" s="16">
        <f>D47*G47</f>
        <v>14.727313570000002</v>
      </c>
      <c r="R47" s="31"/>
      <c r="S47" s="16">
        <f>D47/F47</f>
        <v>0.91973750125237963</v>
      </c>
      <c r="U47" s="14">
        <f>D47*H47</f>
        <v>0.61340091800000007</v>
      </c>
      <c r="X47" s="14">
        <f>E47/F47</f>
        <v>0.91887453450475787</v>
      </c>
    </row>
    <row r="48" spans="1:24" ht="15.6" x14ac:dyDescent="0.25">
      <c r="A48" s="30" t="s">
        <v>6</v>
      </c>
      <c r="B48" s="27" t="s">
        <v>7</v>
      </c>
      <c r="C48" s="29">
        <f>'Исходные данные'!C14</f>
        <v>4.28</v>
      </c>
      <c r="D48" s="28">
        <f t="shared" ref="D48:D76" si="2">C48/100</f>
        <v>4.2800000000000005E-2</v>
      </c>
      <c r="E48" s="28">
        <f t="shared" ref="E48:E76" si="3">D48/F48/$S$77</f>
        <v>4.3022780371468096E-2</v>
      </c>
      <c r="F48" s="27">
        <v>0.99199999999999999</v>
      </c>
      <c r="G48" s="26">
        <v>30.07</v>
      </c>
      <c r="H48" s="25">
        <v>1.2601</v>
      </c>
      <c r="I48" s="24">
        <v>305.83</v>
      </c>
      <c r="J48" s="23">
        <v>4.88</v>
      </c>
      <c r="K48" s="22">
        <v>184.55</v>
      </c>
      <c r="L48" s="19"/>
      <c r="M48" s="240">
        <f t="shared" ref="M48:M77" si="4">D48*I48</f>
        <v>13.089524000000001</v>
      </c>
      <c r="N48" s="19"/>
      <c r="O48" s="16">
        <f t="shared" ref="O48:O76" si="5">D48*J48</f>
        <v>0.20886400000000002</v>
      </c>
      <c r="P48" s="19"/>
      <c r="Q48" s="16">
        <f t="shared" ref="Q48:Q76" si="6">D48*G48</f>
        <v>1.2869960000000003</v>
      </c>
      <c r="R48" s="31"/>
      <c r="S48" s="16">
        <f t="shared" ref="S48:S76" si="7">D48/F48</f>
        <v>4.3145161290322587E-2</v>
      </c>
      <c r="U48" s="14">
        <f t="shared" ref="U48:U74" si="8">D48*H48</f>
        <v>5.3932280000000006E-2</v>
      </c>
      <c r="X48" s="14">
        <f t="shared" ref="X48:X75" si="9">E48/F48</f>
        <v>4.3369738277689612E-2</v>
      </c>
    </row>
    <row r="49" spans="1:24" ht="15.6" x14ac:dyDescent="0.25">
      <c r="A49" s="30" t="s">
        <v>8</v>
      </c>
      <c r="B49" s="27" t="s">
        <v>9</v>
      </c>
      <c r="C49" s="29">
        <f>'Исходные данные'!C15</f>
        <v>1.87</v>
      </c>
      <c r="D49" s="28">
        <f t="shared" si="2"/>
        <v>1.8700000000000001E-2</v>
      </c>
      <c r="E49" s="28">
        <f t="shared" si="3"/>
        <v>1.8961722181742191E-2</v>
      </c>
      <c r="F49" s="27">
        <v>0.98340000000000005</v>
      </c>
      <c r="G49" s="26">
        <v>44.097000000000001</v>
      </c>
      <c r="H49" s="25">
        <v>1.8641000000000001</v>
      </c>
      <c r="I49" s="24">
        <v>369.82</v>
      </c>
      <c r="J49" s="23">
        <v>4.25</v>
      </c>
      <c r="K49" s="22">
        <v>231.05</v>
      </c>
      <c r="L49" s="19"/>
      <c r="M49" s="240">
        <f t="shared" si="4"/>
        <v>6.9156340000000007</v>
      </c>
      <c r="N49" s="19"/>
      <c r="O49" s="16">
        <f t="shared" si="5"/>
        <v>7.9475000000000004E-2</v>
      </c>
      <c r="P49" s="19"/>
      <c r="Q49" s="16">
        <f t="shared" si="6"/>
        <v>0.82461390000000012</v>
      </c>
      <c r="R49" s="31"/>
      <c r="S49" s="16">
        <f t="shared" si="7"/>
        <v>1.901565995525727E-2</v>
      </c>
      <c r="U49" s="14">
        <f t="shared" si="8"/>
        <v>3.4858670000000001E-2</v>
      </c>
      <c r="X49" s="14">
        <f t="shared" si="9"/>
        <v>1.9281800062784411E-2</v>
      </c>
    </row>
    <row r="50" spans="1:24" ht="15.6" x14ac:dyDescent="0.25">
      <c r="A50" s="30" t="s">
        <v>10</v>
      </c>
      <c r="B50" s="27" t="s">
        <v>11</v>
      </c>
      <c r="C50" s="29">
        <f>'Исходные данные'!C16</f>
        <v>0.4803</v>
      </c>
      <c r="D50" s="28">
        <f t="shared" si="2"/>
        <v>4.803E-3</v>
      </c>
      <c r="E50" s="28">
        <f t="shared" si="3"/>
        <v>4.9466807760418681E-3</v>
      </c>
      <c r="F50" s="27">
        <v>0.96819999999999995</v>
      </c>
      <c r="G50" s="26">
        <v>58.122999999999998</v>
      </c>
      <c r="H50" s="25">
        <v>2.4956</v>
      </c>
      <c r="I50" s="24">
        <v>425.14</v>
      </c>
      <c r="J50" s="23">
        <v>3.7839999999999998</v>
      </c>
      <c r="K50" s="22">
        <v>272.67</v>
      </c>
      <c r="L50" s="19"/>
      <c r="M50" s="240">
        <f t="shared" si="4"/>
        <v>2.0419474200000001</v>
      </c>
      <c r="N50" s="19"/>
      <c r="O50" s="16">
        <f t="shared" si="5"/>
        <v>1.8174552E-2</v>
      </c>
      <c r="P50" s="19"/>
      <c r="Q50" s="16">
        <f t="shared" si="6"/>
        <v>0.27916476899999998</v>
      </c>
      <c r="R50" s="31"/>
      <c r="S50" s="16">
        <f t="shared" si="7"/>
        <v>4.9607519107622393E-3</v>
      </c>
      <c r="U50" s="14">
        <f t="shared" si="8"/>
        <v>1.19863668E-2</v>
      </c>
      <c r="X50" s="14">
        <f t="shared" si="9"/>
        <v>5.1091518033896596E-3</v>
      </c>
    </row>
    <row r="51" spans="1:24" ht="15.6" x14ac:dyDescent="0.25">
      <c r="A51" s="30" t="s">
        <v>12</v>
      </c>
      <c r="B51" s="27" t="s">
        <v>13</v>
      </c>
      <c r="C51" s="29">
        <f>'Исходные данные'!C17</f>
        <v>0.37323000000000001</v>
      </c>
      <c r="D51" s="28">
        <f t="shared" si="2"/>
        <v>3.7323E-3</v>
      </c>
      <c r="E51" s="28">
        <f t="shared" si="3"/>
        <v>3.8328664878434144E-3</v>
      </c>
      <c r="F51" s="27">
        <v>0.97099999999999997</v>
      </c>
      <c r="G51" s="26">
        <v>58.122999999999998</v>
      </c>
      <c r="H51" s="25">
        <v>2.488</v>
      </c>
      <c r="I51" s="24">
        <v>408.13</v>
      </c>
      <c r="J51" s="23">
        <v>3.6480000000000001</v>
      </c>
      <c r="K51" s="22">
        <v>261.42</v>
      </c>
      <c r="L51" s="19"/>
      <c r="M51" s="240">
        <f t="shared" si="4"/>
        <v>1.5232635990000001</v>
      </c>
      <c r="N51" s="19"/>
      <c r="O51" s="16">
        <f t="shared" si="5"/>
        <v>1.3615430400000001E-2</v>
      </c>
      <c r="P51" s="19"/>
      <c r="Q51" s="16">
        <f t="shared" si="6"/>
        <v>0.21693247290000001</v>
      </c>
      <c r="R51" s="31"/>
      <c r="S51" s="16">
        <f t="shared" si="7"/>
        <v>3.8437693099897014E-3</v>
      </c>
      <c r="U51" s="14">
        <f t="shared" si="8"/>
        <v>9.2859624000000002E-3</v>
      </c>
      <c r="X51" s="14">
        <f t="shared" si="9"/>
        <v>3.947339328366029E-3</v>
      </c>
    </row>
    <row r="52" spans="1:24" ht="55.5" customHeight="1" x14ac:dyDescent="0.25">
      <c r="A52" s="30" t="s">
        <v>14</v>
      </c>
      <c r="B52" s="27" t="s">
        <v>15</v>
      </c>
      <c r="C52" s="29">
        <f>'Исходные данные'!C18</f>
        <v>7.8049999999999994E-2</v>
      </c>
      <c r="D52" s="28">
        <f t="shared" si="2"/>
        <v>7.8049999999999994E-4</v>
      </c>
      <c r="E52" s="28">
        <f t="shared" si="3"/>
        <v>8.2358319337614086E-4</v>
      </c>
      <c r="F52" s="27">
        <v>0.94499999999999995</v>
      </c>
      <c r="G52" s="26">
        <v>72.150000000000006</v>
      </c>
      <c r="H52" s="25">
        <v>3.1739999999999999</v>
      </c>
      <c r="I52" s="24">
        <v>469.69</v>
      </c>
      <c r="J52" s="23">
        <v>3.3639999999999999</v>
      </c>
      <c r="K52" s="22">
        <v>309.19</v>
      </c>
      <c r="L52" s="19"/>
      <c r="M52" s="240">
        <f t="shared" si="4"/>
        <v>0.36659304499999995</v>
      </c>
      <c r="N52" s="19"/>
      <c r="O52" s="16">
        <f t="shared" si="5"/>
        <v>2.6256019999999999E-3</v>
      </c>
      <c r="P52" s="19"/>
      <c r="Q52" s="16">
        <f t="shared" si="6"/>
        <v>5.6313074999999997E-2</v>
      </c>
      <c r="R52" s="31"/>
      <c r="S52" s="16">
        <f t="shared" si="7"/>
        <v>8.2592592592592592E-4</v>
      </c>
      <c r="U52" s="14">
        <f t="shared" si="8"/>
        <v>2.4773069999999998E-3</v>
      </c>
      <c r="X52" s="14">
        <f t="shared" si="9"/>
        <v>8.7151660674723906E-4</v>
      </c>
    </row>
    <row r="53" spans="1:24" ht="31.2" x14ac:dyDescent="0.25">
      <c r="A53" s="30" t="s">
        <v>16</v>
      </c>
      <c r="B53" s="27" t="s">
        <v>17</v>
      </c>
      <c r="C53" s="29">
        <f>'Исходные данные'!C19</f>
        <v>1.2508E-2</v>
      </c>
      <c r="D53" s="28">
        <f t="shared" si="2"/>
        <v>1.2507999999999999E-4</v>
      </c>
      <c r="E53" s="28">
        <f t="shared" si="3"/>
        <v>1.3087640245541189E-4</v>
      </c>
      <c r="F53" s="27">
        <v>0.95299999999999996</v>
      </c>
      <c r="G53" s="26">
        <v>72.150000000000006</v>
      </c>
      <c r="H53" s="25">
        <v>3.1469999999999998</v>
      </c>
      <c r="I53" s="24">
        <v>460.39</v>
      </c>
      <c r="J53" s="23">
        <v>3.3809999999999998</v>
      </c>
      <c r="K53" s="22">
        <v>301.02</v>
      </c>
      <c r="L53" s="19"/>
      <c r="M53" s="240">
        <f t="shared" si="4"/>
        <v>5.7585581199999993E-2</v>
      </c>
      <c r="N53" s="19"/>
      <c r="O53" s="16">
        <f t="shared" si="5"/>
        <v>4.2289547999999993E-4</v>
      </c>
      <c r="P53" s="19"/>
      <c r="Q53" s="16">
        <f t="shared" si="6"/>
        <v>9.0245220000000001E-3</v>
      </c>
      <c r="R53" s="31"/>
      <c r="S53" s="16">
        <f t="shared" si="7"/>
        <v>1.3124868835257081E-4</v>
      </c>
      <c r="U53" s="14">
        <f t="shared" si="8"/>
        <v>3.9362675999999995E-4</v>
      </c>
      <c r="X53" s="14">
        <f t="shared" si="9"/>
        <v>1.373309574558362E-4</v>
      </c>
    </row>
    <row r="54" spans="1:24" ht="31.2" x14ac:dyDescent="0.25">
      <c r="A54" s="30" t="s">
        <v>18</v>
      </c>
      <c r="B54" s="27" t="s">
        <v>19</v>
      </c>
      <c r="C54" s="29">
        <f>'Исходные данные'!C20</f>
        <v>7.3050000000000004E-2</v>
      </c>
      <c r="D54" s="28">
        <f t="shared" si="2"/>
        <v>7.3050000000000003E-4</v>
      </c>
      <c r="E54" s="28">
        <f>D54/F54/$S$77</f>
        <v>7.9263105805951653E-4</v>
      </c>
      <c r="F54" s="27">
        <v>0.91900000000000004</v>
      </c>
      <c r="G54" s="26">
        <v>86.177000000000007</v>
      </c>
      <c r="H54" s="25">
        <v>3.8980000000000001</v>
      </c>
      <c r="I54" s="24">
        <v>506.4</v>
      </c>
      <c r="J54" s="23">
        <v>3.03</v>
      </c>
      <c r="K54" s="22">
        <v>341.89</v>
      </c>
      <c r="L54" s="19"/>
      <c r="M54" s="240">
        <f t="shared" si="4"/>
        <v>0.36992520000000001</v>
      </c>
      <c r="N54" s="19"/>
      <c r="O54" s="16">
        <f t="shared" si="5"/>
        <v>2.2134149999999998E-3</v>
      </c>
      <c r="P54" s="19"/>
      <c r="Q54" s="16">
        <f t="shared" si="6"/>
        <v>6.2952298500000003E-2</v>
      </c>
      <c r="R54" s="31"/>
      <c r="S54" s="16">
        <f t="shared" si="7"/>
        <v>7.9488574537540805E-4</v>
      </c>
      <c r="U54" s="14">
        <f t="shared" si="8"/>
        <v>2.8474890000000004E-3</v>
      </c>
      <c r="X54" s="14">
        <f t="shared" si="9"/>
        <v>8.6249299027150875E-4</v>
      </c>
    </row>
    <row r="55" spans="1:24" ht="31.2" x14ac:dyDescent="0.25">
      <c r="A55" s="30" t="s">
        <v>20</v>
      </c>
      <c r="B55" s="27" t="s">
        <v>21</v>
      </c>
      <c r="C55" s="29">
        <f>'Исходные данные'!C21</f>
        <v>0</v>
      </c>
      <c r="D55" s="28">
        <f t="shared" si="2"/>
        <v>0</v>
      </c>
      <c r="E55" s="28">
        <f t="shared" si="3"/>
        <v>0</v>
      </c>
      <c r="F55" s="27">
        <v>0.876</v>
      </c>
      <c r="G55" s="26">
        <v>100.20399999999999</v>
      </c>
      <c r="H55" s="25">
        <v>4.7549999999999999</v>
      </c>
      <c r="I55" s="24">
        <v>539.20000000000005</v>
      </c>
      <c r="J55" s="23">
        <v>2.74</v>
      </c>
      <c r="K55" s="22">
        <v>371.58</v>
      </c>
      <c r="L55" s="19"/>
      <c r="M55" s="240">
        <f>D55*I55</f>
        <v>0</v>
      </c>
      <c r="N55" s="19"/>
      <c r="O55" s="16">
        <f t="shared" si="5"/>
        <v>0</v>
      </c>
      <c r="P55" s="19"/>
      <c r="Q55" s="16">
        <f t="shared" si="6"/>
        <v>0</v>
      </c>
      <c r="R55" s="32"/>
      <c r="S55" s="16">
        <f t="shared" si="7"/>
        <v>0</v>
      </c>
      <c r="U55" s="14">
        <f t="shared" si="8"/>
        <v>0</v>
      </c>
      <c r="X55" s="14">
        <f t="shared" si="9"/>
        <v>0</v>
      </c>
    </row>
    <row r="56" spans="1:24" ht="15.6" x14ac:dyDescent="0.25">
      <c r="A56" s="30" t="s">
        <v>22</v>
      </c>
      <c r="B56" s="27" t="s">
        <v>23</v>
      </c>
      <c r="C56" s="29">
        <f>'Исходные данные'!C22</f>
        <v>0</v>
      </c>
      <c r="D56" s="28">
        <f t="shared" si="2"/>
        <v>0</v>
      </c>
      <c r="E56" s="28">
        <f t="shared" si="3"/>
        <v>0</v>
      </c>
      <c r="F56" s="27">
        <v>0.81699999999999995</v>
      </c>
      <c r="G56" s="26">
        <v>114.23099999999999</v>
      </c>
      <c r="H56" s="25">
        <v>5.8120000000000003</v>
      </c>
      <c r="I56" s="24">
        <v>568.4</v>
      </c>
      <c r="J56" s="23">
        <v>2.4900000000000002</v>
      </c>
      <c r="K56" s="22">
        <v>398.83</v>
      </c>
      <c r="L56" s="19"/>
      <c r="M56" s="240">
        <f t="shared" si="4"/>
        <v>0</v>
      </c>
      <c r="N56" s="19"/>
      <c r="O56" s="16">
        <f t="shared" si="5"/>
        <v>0</v>
      </c>
      <c r="P56" s="19"/>
      <c r="Q56" s="16">
        <f t="shared" si="6"/>
        <v>0</v>
      </c>
      <c r="R56" s="31"/>
      <c r="S56" s="16">
        <f t="shared" si="7"/>
        <v>0</v>
      </c>
      <c r="U56" s="14">
        <f t="shared" si="8"/>
        <v>0</v>
      </c>
      <c r="X56" s="14">
        <f t="shared" si="9"/>
        <v>0</v>
      </c>
    </row>
    <row r="57" spans="1:24" ht="31.2" x14ac:dyDescent="0.25">
      <c r="A57" s="30" t="s">
        <v>24</v>
      </c>
      <c r="B57" s="27" t="s">
        <v>25</v>
      </c>
      <c r="C57" s="29">
        <f>'Исходные данные'!C23</f>
        <v>0</v>
      </c>
      <c r="D57" s="28">
        <f t="shared" si="2"/>
        <v>0</v>
      </c>
      <c r="E57" s="28">
        <f t="shared" si="3"/>
        <v>0</v>
      </c>
      <c r="F57" s="27">
        <v>0.99299999999999999</v>
      </c>
      <c r="G57" s="26">
        <v>26.038</v>
      </c>
      <c r="H57" s="25">
        <v>1.0900000000000001</v>
      </c>
      <c r="I57" s="24">
        <v>308.33</v>
      </c>
      <c r="J57" s="23">
        <v>6.1390000000000002</v>
      </c>
      <c r="K57" s="22">
        <v>189.15</v>
      </c>
      <c r="L57" s="19"/>
      <c r="M57" s="240">
        <f t="shared" si="4"/>
        <v>0</v>
      </c>
      <c r="N57" s="19"/>
      <c r="O57" s="16">
        <f t="shared" si="5"/>
        <v>0</v>
      </c>
      <c r="P57" s="19"/>
      <c r="Q57" s="16">
        <f t="shared" si="6"/>
        <v>0</v>
      </c>
      <c r="R57" s="31"/>
      <c r="S57" s="16">
        <f t="shared" si="7"/>
        <v>0</v>
      </c>
      <c r="U57" s="14">
        <f t="shared" si="8"/>
        <v>0</v>
      </c>
      <c r="X57" s="14">
        <f t="shared" si="9"/>
        <v>0</v>
      </c>
    </row>
    <row r="58" spans="1:24" ht="15.6" x14ac:dyDescent="0.25">
      <c r="A58" s="30" t="s">
        <v>26</v>
      </c>
      <c r="B58" s="27" t="s">
        <v>27</v>
      </c>
      <c r="C58" s="29">
        <f>'Исходные данные'!C24</f>
        <v>0</v>
      </c>
      <c r="D58" s="28">
        <f t="shared" si="2"/>
        <v>0</v>
      </c>
      <c r="E58" s="28">
        <f t="shared" si="3"/>
        <v>0</v>
      </c>
      <c r="F58" s="27">
        <v>0.99399999999999999</v>
      </c>
      <c r="G58" s="26">
        <v>28.053999999999998</v>
      </c>
      <c r="H58" s="25">
        <v>1.1733</v>
      </c>
      <c r="I58" s="24">
        <v>282.35000000000002</v>
      </c>
      <c r="J58" s="23">
        <v>5.0419999999999998</v>
      </c>
      <c r="K58" s="22">
        <v>169.44</v>
      </c>
      <c r="L58" s="19"/>
      <c r="M58" s="240">
        <f t="shared" si="4"/>
        <v>0</v>
      </c>
      <c r="N58" s="19"/>
      <c r="O58" s="16">
        <f t="shared" si="5"/>
        <v>0</v>
      </c>
      <c r="P58" s="19"/>
      <c r="Q58" s="16">
        <f t="shared" si="6"/>
        <v>0</v>
      </c>
      <c r="R58" s="31"/>
      <c r="S58" s="16">
        <f t="shared" si="7"/>
        <v>0</v>
      </c>
      <c r="U58" s="14">
        <f t="shared" si="8"/>
        <v>0</v>
      </c>
      <c r="X58" s="14">
        <f t="shared" si="9"/>
        <v>0</v>
      </c>
    </row>
    <row r="59" spans="1:24" ht="31.2" x14ac:dyDescent="0.25">
      <c r="A59" s="30" t="s">
        <v>28</v>
      </c>
      <c r="B59" s="27" t="s">
        <v>29</v>
      </c>
      <c r="C59" s="29">
        <f>'Исходные данные'!C25</f>
        <v>0</v>
      </c>
      <c r="D59" s="28">
        <f t="shared" si="2"/>
        <v>0</v>
      </c>
      <c r="E59" s="28">
        <f t="shared" si="3"/>
        <v>0</v>
      </c>
      <c r="F59" s="27">
        <v>0.98499999999999999</v>
      </c>
      <c r="G59" s="26">
        <v>42.081000000000003</v>
      </c>
      <c r="H59" s="25">
        <v>1.776</v>
      </c>
      <c r="I59" s="24">
        <v>364.85</v>
      </c>
      <c r="J59" s="23">
        <v>4.601</v>
      </c>
      <c r="K59" s="22">
        <v>225.45</v>
      </c>
      <c r="L59" s="19"/>
      <c r="M59" s="240">
        <f t="shared" si="4"/>
        <v>0</v>
      </c>
      <c r="N59" s="19"/>
      <c r="O59" s="16">
        <f t="shared" si="5"/>
        <v>0</v>
      </c>
      <c r="P59" s="19"/>
      <c r="Q59" s="16">
        <f t="shared" si="6"/>
        <v>0</v>
      </c>
      <c r="R59" s="31"/>
      <c r="S59" s="16">
        <f t="shared" si="7"/>
        <v>0</v>
      </c>
      <c r="U59" s="14">
        <f t="shared" si="8"/>
        <v>0</v>
      </c>
      <c r="X59" s="14">
        <f t="shared" si="9"/>
        <v>0</v>
      </c>
    </row>
    <row r="60" spans="1:24" ht="15.6" x14ac:dyDescent="0.25">
      <c r="A60" s="30" t="s">
        <v>30</v>
      </c>
      <c r="B60" s="27" t="s">
        <v>31</v>
      </c>
      <c r="C60" s="29">
        <f>'Исходные данные'!C26</f>
        <v>0</v>
      </c>
      <c r="D60" s="28">
        <f t="shared" si="2"/>
        <v>0</v>
      </c>
      <c r="E60" s="28">
        <f t="shared" si="3"/>
        <v>0</v>
      </c>
      <c r="F60" s="27">
        <v>0.93600000000000005</v>
      </c>
      <c r="G60" s="26">
        <v>78.114000000000004</v>
      </c>
      <c r="H60" s="25">
        <v>3.4689999999999999</v>
      </c>
      <c r="I60" s="24">
        <v>562.16</v>
      </c>
      <c r="J60" s="23">
        <v>4.8979999999999997</v>
      </c>
      <c r="K60" s="22">
        <v>353.25</v>
      </c>
      <c r="L60" s="19"/>
      <c r="M60" s="240">
        <f t="shared" si="4"/>
        <v>0</v>
      </c>
      <c r="N60" s="19"/>
      <c r="O60" s="16">
        <f t="shared" si="5"/>
        <v>0</v>
      </c>
      <c r="P60" s="19"/>
      <c r="Q60" s="16">
        <f t="shared" si="6"/>
        <v>0</v>
      </c>
      <c r="R60" s="31"/>
      <c r="S60" s="16">
        <f t="shared" si="7"/>
        <v>0</v>
      </c>
      <c r="U60" s="14">
        <f t="shared" si="8"/>
        <v>0</v>
      </c>
      <c r="X60" s="14">
        <f t="shared" si="9"/>
        <v>0</v>
      </c>
    </row>
    <row r="61" spans="1:24" ht="15.6" x14ac:dyDescent="0.25">
      <c r="A61" s="30" t="s">
        <v>32</v>
      </c>
      <c r="B61" s="27" t="s">
        <v>33</v>
      </c>
      <c r="C61" s="29">
        <f>'Исходные данные'!C27</f>
        <v>0</v>
      </c>
      <c r="D61" s="28">
        <f t="shared" si="2"/>
        <v>0</v>
      </c>
      <c r="E61" s="28">
        <f t="shared" si="3"/>
        <v>0</v>
      </c>
      <c r="F61" s="27">
        <v>0.89200000000000002</v>
      </c>
      <c r="G61" s="26">
        <v>92.141000000000005</v>
      </c>
      <c r="H61" s="25">
        <v>4.2939999999999996</v>
      </c>
      <c r="I61" s="24">
        <v>591.79999999999995</v>
      </c>
      <c r="J61" s="23">
        <v>4.1059999999999999</v>
      </c>
      <c r="K61" s="22">
        <v>383.78</v>
      </c>
      <c r="L61" s="19"/>
      <c r="M61" s="240">
        <f t="shared" si="4"/>
        <v>0</v>
      </c>
      <c r="N61" s="19"/>
      <c r="O61" s="16">
        <f t="shared" si="5"/>
        <v>0</v>
      </c>
      <c r="P61" s="19"/>
      <c r="Q61" s="16">
        <f t="shared" si="6"/>
        <v>0</v>
      </c>
      <c r="R61" s="31"/>
      <c r="S61" s="16">
        <f t="shared" si="7"/>
        <v>0</v>
      </c>
      <c r="U61" s="14">
        <f t="shared" si="8"/>
        <v>0</v>
      </c>
      <c r="X61" s="14">
        <f t="shared" si="9"/>
        <v>0</v>
      </c>
    </row>
    <row r="62" spans="1:24" ht="15.6" x14ac:dyDescent="0.25">
      <c r="A62" s="30" t="s">
        <v>34</v>
      </c>
      <c r="B62" s="27" t="s">
        <v>35</v>
      </c>
      <c r="C62" s="29">
        <f>'Исходные данные'!C28</f>
        <v>0</v>
      </c>
      <c r="D62" s="28">
        <f t="shared" si="2"/>
        <v>0</v>
      </c>
      <c r="E62" s="28">
        <f t="shared" si="3"/>
        <v>0</v>
      </c>
      <c r="F62" s="27">
        <v>1.0005999999999999</v>
      </c>
      <c r="G62" s="26">
        <v>2.016</v>
      </c>
      <c r="H62" s="25">
        <v>8.3799999999999999E-2</v>
      </c>
      <c r="I62" s="24">
        <v>33.200000000000003</v>
      </c>
      <c r="J62" s="23">
        <v>1.2969999999999999</v>
      </c>
      <c r="K62" s="22">
        <v>20.350000000000001</v>
      </c>
      <c r="L62" s="19"/>
      <c r="M62" s="240">
        <f t="shared" si="4"/>
        <v>0</v>
      </c>
      <c r="N62" s="19"/>
      <c r="O62" s="16">
        <f t="shared" si="5"/>
        <v>0</v>
      </c>
      <c r="P62" s="19"/>
      <c r="Q62" s="16">
        <f t="shared" si="6"/>
        <v>0</v>
      </c>
      <c r="R62" s="31"/>
      <c r="S62" s="16">
        <f t="shared" si="7"/>
        <v>0</v>
      </c>
      <c r="U62" s="14">
        <f t="shared" si="8"/>
        <v>0</v>
      </c>
      <c r="X62" s="14">
        <f t="shared" si="9"/>
        <v>0</v>
      </c>
    </row>
    <row r="63" spans="1:24" ht="31.2" x14ac:dyDescent="0.25">
      <c r="A63" s="30" t="s">
        <v>36</v>
      </c>
      <c r="B63" s="27" t="s">
        <v>37</v>
      </c>
      <c r="C63" s="29">
        <f>'Исходные данные'!C29</f>
        <v>0</v>
      </c>
      <c r="D63" s="28">
        <f t="shared" si="2"/>
        <v>0</v>
      </c>
      <c r="E63" s="28">
        <f t="shared" si="3"/>
        <v>0</v>
      </c>
      <c r="F63" s="27">
        <v>0.95199999999999996</v>
      </c>
      <c r="G63" s="26">
        <v>18.015000000000001</v>
      </c>
      <c r="H63" s="25">
        <v>0.78700000000000003</v>
      </c>
      <c r="I63" s="24">
        <v>647.14</v>
      </c>
      <c r="J63" s="23">
        <v>22.064</v>
      </c>
      <c r="K63" s="22">
        <v>373.15</v>
      </c>
      <c r="L63" s="19"/>
      <c r="M63" s="240">
        <f t="shared" si="4"/>
        <v>0</v>
      </c>
      <c r="N63" s="19"/>
      <c r="O63" s="16">
        <f t="shared" si="5"/>
        <v>0</v>
      </c>
      <c r="P63" s="19"/>
      <c r="Q63" s="16">
        <f t="shared" si="6"/>
        <v>0</v>
      </c>
      <c r="R63" s="31"/>
      <c r="S63" s="16">
        <f t="shared" si="7"/>
        <v>0</v>
      </c>
      <c r="U63" s="14">
        <f t="shared" si="8"/>
        <v>0</v>
      </c>
      <c r="X63" s="14">
        <f t="shared" si="9"/>
        <v>0</v>
      </c>
    </row>
    <row r="64" spans="1:24" ht="15.6" x14ac:dyDescent="0.25">
      <c r="A64" s="30" t="s">
        <v>38</v>
      </c>
      <c r="B64" s="27" t="s">
        <v>39</v>
      </c>
      <c r="C64" s="29">
        <f>'Исходные данные'!C30</f>
        <v>0</v>
      </c>
      <c r="D64" s="28">
        <f t="shared" si="2"/>
        <v>0</v>
      </c>
      <c r="E64" s="28">
        <f t="shared" si="3"/>
        <v>0</v>
      </c>
      <c r="F64" s="27">
        <v>0.98899999999999999</v>
      </c>
      <c r="G64" s="26">
        <v>17.030999999999999</v>
      </c>
      <c r="H64" s="25">
        <v>0.71599999999999997</v>
      </c>
      <c r="I64" s="24">
        <v>405.5</v>
      </c>
      <c r="J64" s="23">
        <v>11.35</v>
      </c>
      <c r="K64" s="22">
        <v>239.75</v>
      </c>
      <c r="L64" s="19"/>
      <c r="M64" s="240">
        <f t="shared" si="4"/>
        <v>0</v>
      </c>
      <c r="N64" s="19"/>
      <c r="O64" s="16">
        <f t="shared" si="5"/>
        <v>0</v>
      </c>
      <c r="P64" s="19"/>
      <c r="Q64" s="16">
        <f t="shared" si="6"/>
        <v>0</v>
      </c>
      <c r="R64" s="31"/>
      <c r="S64" s="16">
        <f t="shared" si="7"/>
        <v>0</v>
      </c>
      <c r="U64" s="14">
        <f t="shared" si="8"/>
        <v>0</v>
      </c>
      <c r="X64" s="14">
        <f t="shared" si="9"/>
        <v>0</v>
      </c>
    </row>
    <row r="65" spans="1:24" ht="15.6" x14ac:dyDescent="0.25">
      <c r="A65" s="30" t="s">
        <v>40</v>
      </c>
      <c r="B65" s="27" t="s">
        <v>41</v>
      </c>
      <c r="C65" s="29">
        <f>'Исходные данные'!C31</f>
        <v>0</v>
      </c>
      <c r="D65" s="28">
        <f t="shared" si="2"/>
        <v>0</v>
      </c>
      <c r="E65" s="28">
        <f t="shared" si="3"/>
        <v>0</v>
      </c>
      <c r="F65" s="27">
        <v>0.89200000000000002</v>
      </c>
      <c r="G65" s="26">
        <v>34.042000000000002</v>
      </c>
      <c r="H65" s="25">
        <v>1.587</v>
      </c>
      <c r="I65" s="24">
        <v>512.64</v>
      </c>
      <c r="J65" s="23">
        <v>8.0920000000000005</v>
      </c>
      <c r="K65" s="22">
        <v>337.85</v>
      </c>
      <c r="L65" s="19"/>
      <c r="M65" s="240">
        <f t="shared" si="4"/>
        <v>0</v>
      </c>
      <c r="N65" s="19"/>
      <c r="O65" s="16">
        <f t="shared" si="5"/>
        <v>0</v>
      </c>
      <c r="P65" s="19"/>
      <c r="Q65" s="16">
        <f t="shared" si="6"/>
        <v>0</v>
      </c>
      <c r="R65" s="31"/>
      <c r="S65" s="16">
        <f t="shared" si="7"/>
        <v>0</v>
      </c>
      <c r="U65" s="14">
        <f t="shared" si="8"/>
        <v>0</v>
      </c>
      <c r="X65" s="14">
        <f t="shared" si="9"/>
        <v>0</v>
      </c>
    </row>
    <row r="66" spans="1:24" ht="31.2" x14ac:dyDescent="0.25">
      <c r="A66" s="30" t="s">
        <v>42</v>
      </c>
      <c r="B66" s="27" t="s">
        <v>43</v>
      </c>
      <c r="C66" s="29">
        <f>'Исходные данные'!C32</f>
        <v>0</v>
      </c>
      <c r="D66" s="28">
        <f t="shared" si="2"/>
        <v>0</v>
      </c>
      <c r="E66" s="28">
        <f t="shared" si="3"/>
        <v>0</v>
      </c>
      <c r="F66" s="27">
        <v>0.99</v>
      </c>
      <c r="G66" s="26">
        <v>34.082000000000001</v>
      </c>
      <c r="H66" s="25">
        <v>1.4311</v>
      </c>
      <c r="I66" s="24">
        <v>373.2</v>
      </c>
      <c r="J66" s="23">
        <v>8.94</v>
      </c>
      <c r="K66" s="22">
        <v>212.85</v>
      </c>
      <c r="L66" s="19"/>
      <c r="M66" s="240">
        <f t="shared" si="4"/>
        <v>0</v>
      </c>
      <c r="N66" s="19"/>
      <c r="O66" s="16">
        <f t="shared" si="5"/>
        <v>0</v>
      </c>
      <c r="P66" s="19"/>
      <c r="Q66" s="16">
        <f t="shared" si="6"/>
        <v>0</v>
      </c>
      <c r="R66" s="31"/>
      <c r="S66" s="16">
        <f t="shared" si="7"/>
        <v>0</v>
      </c>
      <c r="U66" s="14">
        <f t="shared" si="8"/>
        <v>0</v>
      </c>
      <c r="X66" s="14">
        <f t="shared" si="9"/>
        <v>0</v>
      </c>
    </row>
    <row r="67" spans="1:24" ht="46.8" x14ac:dyDescent="0.25">
      <c r="A67" s="30" t="s">
        <v>44</v>
      </c>
      <c r="B67" s="27" t="s">
        <v>45</v>
      </c>
      <c r="C67" s="29">
        <f>'Исходные данные'!C33</f>
        <v>0</v>
      </c>
      <c r="D67" s="28">
        <f t="shared" si="2"/>
        <v>0</v>
      </c>
      <c r="E67" s="28">
        <f t="shared" si="3"/>
        <v>0</v>
      </c>
      <c r="F67" s="27">
        <v>0.97799999999999998</v>
      </c>
      <c r="G67" s="26">
        <v>48.109000000000002</v>
      </c>
      <c r="H67" s="25">
        <v>2.0449999999999999</v>
      </c>
      <c r="I67" s="24">
        <v>470</v>
      </c>
      <c r="J67" s="23">
        <v>7.23</v>
      </c>
      <c r="K67" s="22">
        <v>279.10000000000002</v>
      </c>
      <c r="L67" s="19"/>
      <c r="M67" s="240">
        <f t="shared" si="4"/>
        <v>0</v>
      </c>
      <c r="N67" s="19"/>
      <c r="O67" s="16">
        <f t="shared" si="5"/>
        <v>0</v>
      </c>
      <c r="P67" s="19"/>
      <c r="Q67" s="16">
        <f t="shared" si="6"/>
        <v>0</v>
      </c>
      <c r="R67" s="31"/>
      <c r="S67" s="16">
        <f t="shared" si="7"/>
        <v>0</v>
      </c>
      <c r="U67" s="14">
        <f t="shared" si="8"/>
        <v>0</v>
      </c>
      <c r="X67" s="14">
        <f t="shared" si="9"/>
        <v>0</v>
      </c>
    </row>
    <row r="68" spans="1:24" ht="31.2" x14ac:dyDescent="0.25">
      <c r="A68" s="30" t="s">
        <v>46</v>
      </c>
      <c r="B68" s="27" t="s">
        <v>47</v>
      </c>
      <c r="C68" s="29">
        <f>'Исходные данные'!C34</f>
        <v>0</v>
      </c>
      <c r="D68" s="28">
        <f t="shared" si="2"/>
        <v>0</v>
      </c>
      <c r="E68" s="28">
        <f t="shared" si="3"/>
        <v>0</v>
      </c>
      <c r="F68" s="27">
        <v>0.98</v>
      </c>
      <c r="G68" s="26">
        <v>64.064999999999998</v>
      </c>
      <c r="H68" s="25">
        <v>2.718</v>
      </c>
      <c r="I68" s="24">
        <v>430.8</v>
      </c>
      <c r="J68" s="23">
        <v>7.8840000000000003</v>
      </c>
      <c r="K68" s="22">
        <v>263.14999999999998</v>
      </c>
      <c r="L68" s="19"/>
      <c r="M68" s="240">
        <f t="shared" si="4"/>
        <v>0</v>
      </c>
      <c r="N68" s="19"/>
      <c r="O68" s="16">
        <f t="shared" si="5"/>
        <v>0</v>
      </c>
      <c r="P68" s="19"/>
      <c r="Q68" s="16">
        <f t="shared" si="6"/>
        <v>0</v>
      </c>
      <c r="R68" s="31"/>
      <c r="S68" s="16">
        <f t="shared" si="7"/>
        <v>0</v>
      </c>
      <c r="U68" s="14">
        <f t="shared" si="8"/>
        <v>0</v>
      </c>
      <c r="X68" s="14">
        <f t="shared" si="9"/>
        <v>0</v>
      </c>
    </row>
    <row r="69" spans="1:24" ht="15.6" x14ac:dyDescent="0.25">
      <c r="A69" s="30" t="s">
        <v>48</v>
      </c>
      <c r="B69" s="27" t="s">
        <v>49</v>
      </c>
      <c r="C69" s="29">
        <f>'Исходные данные'!C35</f>
        <v>0</v>
      </c>
      <c r="D69" s="28">
        <f t="shared" si="2"/>
        <v>0</v>
      </c>
      <c r="E69" s="28">
        <f t="shared" si="3"/>
        <v>0</v>
      </c>
      <c r="F69" s="27">
        <v>1.0004999999999999</v>
      </c>
      <c r="G69" s="26">
        <v>4.0030000000000001</v>
      </c>
      <c r="H69" s="25">
        <v>0.1663</v>
      </c>
      <c r="I69" s="24">
        <v>5.19</v>
      </c>
      <c r="J69" s="23">
        <v>0.22700000000000001</v>
      </c>
      <c r="K69" s="22">
        <v>4.21</v>
      </c>
      <c r="L69" s="19"/>
      <c r="M69" s="240">
        <f t="shared" si="4"/>
        <v>0</v>
      </c>
      <c r="N69" s="19"/>
      <c r="O69" s="16">
        <f t="shared" si="5"/>
        <v>0</v>
      </c>
      <c r="P69" s="19"/>
      <c r="Q69" s="16">
        <f t="shared" si="6"/>
        <v>0</v>
      </c>
      <c r="R69" s="31"/>
      <c r="S69" s="16">
        <f t="shared" si="7"/>
        <v>0</v>
      </c>
      <c r="U69" s="14">
        <f t="shared" si="8"/>
        <v>0</v>
      </c>
      <c r="X69" s="14">
        <f t="shared" si="9"/>
        <v>0</v>
      </c>
    </row>
    <row r="70" spans="1:24" ht="15.6" x14ac:dyDescent="0.25">
      <c r="A70" s="30" t="s">
        <v>50</v>
      </c>
      <c r="B70" s="27" t="s">
        <v>51</v>
      </c>
      <c r="C70" s="29">
        <f>'Исходные данные'!C36</f>
        <v>0</v>
      </c>
      <c r="D70" s="28">
        <f t="shared" si="2"/>
        <v>0</v>
      </c>
      <c r="E70" s="28">
        <f t="shared" si="3"/>
        <v>0</v>
      </c>
      <c r="F70" s="27">
        <v>1.0004999999999999</v>
      </c>
      <c r="G70" s="26">
        <v>20.18</v>
      </c>
      <c r="H70" s="25">
        <v>0.83850000000000002</v>
      </c>
      <c r="I70" s="24">
        <v>44.4</v>
      </c>
      <c r="J70" s="23">
        <v>2.76</v>
      </c>
      <c r="K70" s="22">
        <v>27.09</v>
      </c>
      <c r="L70" s="19"/>
      <c r="M70" s="240">
        <f t="shared" si="4"/>
        <v>0</v>
      </c>
      <c r="N70" s="19"/>
      <c r="O70" s="16">
        <f t="shared" si="5"/>
        <v>0</v>
      </c>
      <c r="P70" s="19"/>
      <c r="Q70" s="16">
        <f t="shared" si="6"/>
        <v>0</v>
      </c>
      <c r="R70" s="31"/>
      <c r="S70" s="16">
        <f t="shared" si="7"/>
        <v>0</v>
      </c>
      <c r="U70" s="14">
        <f t="shared" si="8"/>
        <v>0</v>
      </c>
      <c r="X70" s="14">
        <f t="shared" si="9"/>
        <v>0</v>
      </c>
    </row>
    <row r="71" spans="1:24" ht="15.6" x14ac:dyDescent="0.25">
      <c r="A71" s="30" t="s">
        <v>52</v>
      </c>
      <c r="B71" s="27" t="s">
        <v>53</v>
      </c>
      <c r="C71" s="29">
        <f>'Исходные данные'!C37</f>
        <v>0</v>
      </c>
      <c r="D71" s="28">
        <f t="shared" si="2"/>
        <v>0</v>
      </c>
      <c r="E71" s="28">
        <f t="shared" si="3"/>
        <v>0</v>
      </c>
      <c r="F71" s="27">
        <v>0.99929999999999997</v>
      </c>
      <c r="G71" s="26">
        <v>39.948</v>
      </c>
      <c r="H71" s="25">
        <v>1.6617999999999999</v>
      </c>
      <c r="I71" s="24">
        <v>150.65</v>
      </c>
      <c r="J71" s="23">
        <v>4.8659999999999997</v>
      </c>
      <c r="K71" s="22">
        <v>87.29</v>
      </c>
      <c r="L71" s="19"/>
      <c r="M71" s="240">
        <f t="shared" si="4"/>
        <v>0</v>
      </c>
      <c r="N71" s="19"/>
      <c r="O71" s="16">
        <f t="shared" si="5"/>
        <v>0</v>
      </c>
      <c r="P71" s="19"/>
      <c r="Q71" s="16">
        <f t="shared" si="6"/>
        <v>0</v>
      </c>
      <c r="R71" s="31"/>
      <c r="S71" s="16">
        <f t="shared" si="7"/>
        <v>0</v>
      </c>
      <c r="U71" s="14">
        <f t="shared" si="8"/>
        <v>0</v>
      </c>
      <c r="X71" s="14">
        <f t="shared" si="9"/>
        <v>0</v>
      </c>
    </row>
    <row r="72" spans="1:24" ht="46.8" x14ac:dyDescent="0.25">
      <c r="A72" s="30" t="s">
        <v>54</v>
      </c>
      <c r="B72" s="27" t="s">
        <v>55</v>
      </c>
      <c r="C72" s="29">
        <f>'Исходные данные'!C38</f>
        <v>0</v>
      </c>
      <c r="D72" s="28">
        <f t="shared" si="2"/>
        <v>0</v>
      </c>
      <c r="E72" s="28">
        <f t="shared" si="3"/>
        <v>0</v>
      </c>
      <c r="F72" s="27">
        <v>0.99960000000000004</v>
      </c>
      <c r="G72" s="26">
        <v>28.01</v>
      </c>
      <c r="H72" s="25">
        <v>1.1649</v>
      </c>
      <c r="I72" s="24">
        <v>132.85</v>
      </c>
      <c r="J72" s="23">
        <v>3.4940000000000002</v>
      </c>
      <c r="K72" s="22">
        <v>81.650000000000006</v>
      </c>
      <c r="L72" s="19"/>
      <c r="M72" s="240">
        <f t="shared" si="4"/>
        <v>0</v>
      </c>
      <c r="N72" s="19"/>
      <c r="O72" s="16">
        <f t="shared" si="5"/>
        <v>0</v>
      </c>
      <c r="P72" s="19"/>
      <c r="Q72" s="16">
        <f t="shared" si="6"/>
        <v>0</v>
      </c>
      <c r="R72" s="31"/>
      <c r="S72" s="16">
        <f t="shared" si="7"/>
        <v>0</v>
      </c>
      <c r="U72" s="14">
        <f t="shared" si="8"/>
        <v>0</v>
      </c>
      <c r="W72" s="13" t="s">
        <v>346</v>
      </c>
      <c r="X72" s="14">
        <f t="shared" si="9"/>
        <v>0</v>
      </c>
    </row>
    <row r="73" spans="1:24" ht="15.6" x14ac:dyDescent="0.25">
      <c r="A73" s="30" t="s">
        <v>56</v>
      </c>
      <c r="B73" s="27" t="s">
        <v>57</v>
      </c>
      <c r="C73" s="29">
        <f>'Исходные данные'!C39</f>
        <v>0.193909</v>
      </c>
      <c r="D73" s="28">
        <f>C73/100</f>
        <v>1.9390900000000001E-3</v>
      </c>
      <c r="E73" s="28">
        <f t="shared" si="3"/>
        <v>1.9341700371089357E-3</v>
      </c>
      <c r="F73" s="27">
        <v>0.99970000000000003</v>
      </c>
      <c r="G73" s="26">
        <v>28.013999999999999</v>
      </c>
      <c r="H73" s="25">
        <v>1.1649</v>
      </c>
      <c r="I73" s="24">
        <v>126.2</v>
      </c>
      <c r="J73" s="23">
        <v>3.39</v>
      </c>
      <c r="K73" s="22">
        <v>77.349999999999994</v>
      </c>
      <c r="L73" s="19"/>
      <c r="M73" s="240">
        <f t="shared" si="4"/>
        <v>0.24471315800000001</v>
      </c>
      <c r="N73" s="19"/>
      <c r="O73" s="16">
        <f t="shared" si="5"/>
        <v>6.5735151000000007E-3</v>
      </c>
      <c r="P73" s="19"/>
      <c r="Q73" s="16">
        <f t="shared" si="6"/>
        <v>5.4321667259999998E-2</v>
      </c>
      <c r="R73" s="31"/>
      <c r="S73" s="16">
        <f t="shared" si="7"/>
        <v>1.9396719015704711E-3</v>
      </c>
      <c r="U73" s="14">
        <f t="shared" si="8"/>
        <v>2.2588459410000004E-3</v>
      </c>
      <c r="X73" s="14">
        <f t="shared" si="9"/>
        <v>1.93475046224761E-3</v>
      </c>
    </row>
    <row r="74" spans="1:24" ht="15.6" x14ac:dyDescent="0.25">
      <c r="A74" s="30" t="s">
        <v>58</v>
      </c>
      <c r="B74" s="27"/>
      <c r="C74" s="29">
        <f>'Исходные данные'!C40</f>
        <v>0</v>
      </c>
      <c r="D74" s="28">
        <f t="shared" si="2"/>
        <v>0</v>
      </c>
      <c r="E74" s="28">
        <f t="shared" si="3"/>
        <v>0</v>
      </c>
      <c r="F74" s="27">
        <v>0.99963000000000002</v>
      </c>
      <c r="G74" s="26">
        <v>28.963000000000001</v>
      </c>
      <c r="H74" s="25">
        <v>1.2044999999999999</v>
      </c>
      <c r="I74" s="24">
        <v>132.5</v>
      </c>
      <c r="J74" s="23">
        <v>3.766</v>
      </c>
      <c r="K74" s="22">
        <v>78.849999999999994</v>
      </c>
      <c r="L74" s="19"/>
      <c r="M74" s="240">
        <f t="shared" si="4"/>
        <v>0</v>
      </c>
      <c r="N74" s="19"/>
      <c r="O74" s="16">
        <f t="shared" si="5"/>
        <v>0</v>
      </c>
      <c r="P74" s="19"/>
      <c r="Q74" s="16">
        <f t="shared" si="6"/>
        <v>0</v>
      </c>
      <c r="S74" s="16">
        <f t="shared" si="7"/>
        <v>0</v>
      </c>
      <c r="U74" s="14">
        <f t="shared" si="8"/>
        <v>0</v>
      </c>
      <c r="X74" s="14">
        <f t="shared" si="9"/>
        <v>0</v>
      </c>
    </row>
    <row r="75" spans="1:24" ht="31.2" x14ac:dyDescent="0.25">
      <c r="A75" s="30" t="s">
        <v>59</v>
      </c>
      <c r="B75" s="27" t="s">
        <v>60</v>
      </c>
      <c r="C75" s="29">
        <f>'Исходные данные'!C41</f>
        <v>0</v>
      </c>
      <c r="D75" s="28">
        <f t="shared" si="2"/>
        <v>0</v>
      </c>
      <c r="E75" s="28">
        <f t="shared" si="3"/>
        <v>0</v>
      </c>
      <c r="F75" s="27">
        <v>0.99929999999999997</v>
      </c>
      <c r="G75" s="26">
        <v>31.998999999999999</v>
      </c>
      <c r="H75" s="25">
        <v>1.3311999999999999</v>
      </c>
      <c r="I75" s="24">
        <v>154.58000000000001</v>
      </c>
      <c r="J75" s="23">
        <v>5.0430000000000001</v>
      </c>
      <c r="K75" s="22">
        <v>90.19</v>
      </c>
      <c r="L75" s="19"/>
      <c r="M75" s="240">
        <f t="shared" si="4"/>
        <v>0</v>
      </c>
      <c r="N75" s="19"/>
      <c r="O75" s="16">
        <f t="shared" si="5"/>
        <v>0</v>
      </c>
      <c r="P75" s="19"/>
      <c r="Q75" s="16">
        <f t="shared" si="6"/>
        <v>0</v>
      </c>
      <c r="S75" s="16">
        <f t="shared" si="7"/>
        <v>0</v>
      </c>
      <c r="U75" s="14">
        <f>D75*H75</f>
        <v>0</v>
      </c>
      <c r="X75" s="14">
        <f t="shared" si="9"/>
        <v>0</v>
      </c>
    </row>
    <row r="76" spans="1:24" ht="31.2" x14ac:dyDescent="0.25">
      <c r="A76" s="30" t="s">
        <v>61</v>
      </c>
      <c r="B76" s="27" t="s">
        <v>62</v>
      </c>
      <c r="C76" s="29">
        <f>'Исходные данные'!C42</f>
        <v>0.84052000000000004</v>
      </c>
      <c r="D76" s="28">
        <f t="shared" si="2"/>
        <v>8.4051999999999998E-3</v>
      </c>
      <c r="E76" s="28">
        <f t="shared" si="3"/>
        <v>8.4260166027054946E-3</v>
      </c>
      <c r="F76" s="27">
        <v>0.99470000000000003</v>
      </c>
      <c r="G76" s="26">
        <v>44.01</v>
      </c>
      <c r="H76" s="25">
        <v>1.8392999999999999</v>
      </c>
      <c r="I76" s="24">
        <v>304.2</v>
      </c>
      <c r="J76" s="23">
        <v>7.3860000000000001</v>
      </c>
      <c r="K76" s="22">
        <v>194.65</v>
      </c>
      <c r="L76" s="19"/>
      <c r="M76" s="240">
        <f>D76*I76</f>
        <v>2.5568618399999998</v>
      </c>
      <c r="N76" s="19"/>
      <c r="O76" s="16">
        <f t="shared" si="5"/>
        <v>6.2080807199999997E-2</v>
      </c>
      <c r="P76" s="19"/>
      <c r="Q76" s="16">
        <f t="shared" si="6"/>
        <v>0.36991285199999996</v>
      </c>
      <c r="S76" s="16">
        <f t="shared" si="7"/>
        <v>8.4499849200764046E-3</v>
      </c>
      <c r="U76" s="14">
        <f>D76*H76</f>
        <v>1.545968436E-2</v>
      </c>
      <c r="X76" s="14">
        <f>E76/F76</f>
        <v>8.4709124386302351E-3</v>
      </c>
    </row>
    <row r="77" spans="1:24" ht="15.6" x14ac:dyDescent="0.25">
      <c r="A77" s="19"/>
      <c r="B77" s="19"/>
      <c r="C77" s="19"/>
      <c r="D77" s="21">
        <f>SUM(D47:D76)</f>
        <v>1.00000567</v>
      </c>
      <c r="E77" s="20">
        <f>SUM(E47:E76)</f>
        <v>1</v>
      </c>
      <c r="G77" s="19"/>
      <c r="H77" s="19"/>
      <c r="I77" s="19"/>
      <c r="J77" s="19"/>
      <c r="K77" s="19"/>
      <c r="L77" s="17" t="s">
        <v>84</v>
      </c>
      <c r="M77" s="241">
        <f>SUM(M47:M76)</f>
        <v>202.09822224320004</v>
      </c>
      <c r="N77" s="17" t="s">
        <v>83</v>
      </c>
      <c r="O77" s="16">
        <f>SUM(O47:O76)</f>
        <v>4.6156976291800005</v>
      </c>
      <c r="P77" s="17" t="s">
        <v>82</v>
      </c>
      <c r="Q77" s="16">
        <f>SUM(Q47:Q76)</f>
        <v>17.887545126660005</v>
      </c>
      <c r="S77" s="15">
        <f>SUM(S47:S76)</f>
        <v>1.0028445609000123</v>
      </c>
      <c r="U77" s="14">
        <f>SUM(U47:U76)</f>
        <v>0.74690115026100012</v>
      </c>
      <c r="X77" s="14">
        <f>SUM(X47:X76)</f>
        <v>1.0028595674323399</v>
      </c>
    </row>
  </sheetData>
  <mergeCells count="8">
    <mergeCell ref="K1:O1"/>
    <mergeCell ref="J2:K2"/>
    <mergeCell ref="J3:O3"/>
    <mergeCell ref="B1:F1"/>
    <mergeCell ref="A2:B2"/>
    <mergeCell ref="G2:I2"/>
    <mergeCell ref="A3:F3"/>
    <mergeCell ref="G3:I3"/>
  </mergeCells>
  <printOptions horizontalCentered="1"/>
  <pageMargins left="0.39374999999999999" right="0.196527777777778" top="0.39374999999999999" bottom="0.196527777777778" header="0.51180555555555496" footer="0.51180555555555496"/>
  <pageSetup paperSize="9" firstPageNumber="0" orientation="portrait" r:id="rId1"/>
  <rowBreaks count="1" manualBreakCount="1">
    <brk id="37" max="16383" man="1"/>
  </rowBreaks>
  <colBreaks count="2" manualBreakCount="2">
    <brk id="6" max="1048575" man="1"/>
    <brk id="18" max="1048575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9"/>
  <dimension ref="A1:X77"/>
  <sheetViews>
    <sheetView topLeftCell="L19" zoomScale="70" zoomScaleNormal="70" workbookViewId="0">
      <selection activeCell="O5" sqref="O5"/>
    </sheetView>
  </sheetViews>
  <sheetFormatPr defaultColWidth="9.109375" defaultRowHeight="13.2" x14ac:dyDescent="0.25"/>
  <cols>
    <col min="1" max="1" width="9.44140625" style="13" customWidth="1"/>
    <col min="2" max="2" width="24.44140625" style="13" customWidth="1"/>
    <col min="3" max="3" width="17.5546875" style="13" customWidth="1"/>
    <col min="4" max="4" width="22.5546875" style="13" customWidth="1"/>
    <col min="5" max="5" width="15.6640625" style="13" customWidth="1"/>
    <col min="6" max="10" width="9.109375" style="13"/>
    <col min="11" max="11" width="24" style="13" customWidth="1"/>
    <col min="12" max="12" width="25" style="13" customWidth="1"/>
    <col min="13" max="14" width="9.109375" style="13"/>
    <col min="15" max="15" width="9.109375" style="13" customWidth="1"/>
    <col min="16" max="25" width="9.109375" style="13"/>
    <col min="26" max="26" width="11.88671875" style="13" customWidth="1"/>
    <col min="27" max="16384" width="9.109375" style="13"/>
  </cols>
  <sheetData>
    <row r="1" spans="1:15" ht="29.4" customHeight="1" x14ac:dyDescent="0.35">
      <c r="B1" s="230" t="s">
        <v>160</v>
      </c>
      <c r="C1" s="230"/>
      <c r="D1" s="230"/>
      <c r="E1" s="230"/>
      <c r="F1" s="230"/>
      <c r="K1" s="230" t="s">
        <v>160</v>
      </c>
      <c r="L1" s="230"/>
      <c r="M1" s="230"/>
      <c r="N1" s="230"/>
      <c r="O1" s="230"/>
    </row>
    <row r="2" spans="1:15" ht="51" customHeight="1" x14ac:dyDescent="0.25">
      <c r="A2" s="231" t="s">
        <v>159</v>
      </c>
      <c r="B2" s="231"/>
      <c r="C2" s="71" t="s">
        <v>158</v>
      </c>
      <c r="D2" s="71" t="s">
        <v>157</v>
      </c>
      <c r="E2" s="201" t="s">
        <v>2</v>
      </c>
      <c r="F2" s="67" t="s">
        <v>156</v>
      </c>
      <c r="G2" s="233"/>
      <c r="H2" s="233"/>
      <c r="I2" s="233"/>
      <c r="J2" s="231" t="s">
        <v>159</v>
      </c>
      <c r="K2" s="231"/>
      <c r="L2" s="71" t="s">
        <v>158</v>
      </c>
      <c r="M2" s="71" t="s">
        <v>157</v>
      </c>
      <c r="N2" s="201" t="s">
        <v>2</v>
      </c>
      <c r="O2" s="67" t="s">
        <v>156</v>
      </c>
    </row>
    <row r="3" spans="1:15" ht="51" customHeight="1" x14ac:dyDescent="0.25">
      <c r="A3" s="232"/>
      <c r="B3" s="232"/>
      <c r="C3" s="232"/>
      <c r="D3" s="232"/>
      <c r="E3" s="232"/>
      <c r="F3" s="232"/>
      <c r="G3" s="234"/>
      <c r="H3" s="234"/>
      <c r="I3" s="234"/>
      <c r="J3" s="232"/>
      <c r="K3" s="232"/>
      <c r="L3" s="232"/>
      <c r="M3" s="232"/>
      <c r="N3" s="232"/>
      <c r="O3" s="232"/>
    </row>
    <row r="4" spans="1:15" ht="33.6" customHeight="1" x14ac:dyDescent="0.3">
      <c r="A4" s="43">
        <v>1</v>
      </c>
      <c r="B4" s="42" t="s">
        <v>155</v>
      </c>
      <c r="C4" s="41" t="s">
        <v>154</v>
      </c>
      <c r="D4" s="41" t="s">
        <v>153</v>
      </c>
      <c r="E4" s="201" t="s">
        <v>146</v>
      </c>
      <c r="F4" s="68">
        <f>'Тепл баланс'!F6</f>
        <v>7.4</v>
      </c>
      <c r="G4" s="64"/>
      <c r="H4" s="31"/>
      <c r="I4" s="63"/>
      <c r="J4" s="43">
        <v>1</v>
      </c>
      <c r="K4" s="42" t="s">
        <v>155</v>
      </c>
      <c r="L4" s="41" t="s">
        <v>154</v>
      </c>
      <c r="M4" s="41" t="s">
        <v>153</v>
      </c>
      <c r="N4" s="201" t="s">
        <v>146</v>
      </c>
      <c r="O4" s="68">
        <f>'Тепл баланс'!F7</f>
        <v>1.2</v>
      </c>
    </row>
    <row r="5" spans="1:15" ht="31.2" x14ac:dyDescent="0.3">
      <c r="A5" s="43">
        <f t="shared" ref="A5:A37" si="0">A4+1</f>
        <v>2</v>
      </c>
      <c r="B5" s="70" t="s">
        <v>63</v>
      </c>
      <c r="C5" s="41" t="s">
        <v>152</v>
      </c>
      <c r="D5" s="69" t="s">
        <v>151</v>
      </c>
      <c r="E5" s="201" t="s">
        <v>146</v>
      </c>
      <c r="F5" s="68">
        <f>'Тепл баланс'!F9</f>
        <v>0</v>
      </c>
      <c r="G5" s="64"/>
      <c r="H5" s="31"/>
      <c r="I5" s="63"/>
      <c r="J5" s="43">
        <f t="shared" ref="J5:J37" si="1">J4+1</f>
        <v>2</v>
      </c>
      <c r="K5" s="70" t="s">
        <v>322</v>
      </c>
      <c r="L5" s="41" t="s">
        <v>152</v>
      </c>
      <c r="M5" s="69" t="s">
        <v>151</v>
      </c>
      <c r="N5" s="201" t="s">
        <v>146</v>
      </c>
      <c r="O5" s="68">
        <f>'Тепл баланс'!F11</f>
        <v>5</v>
      </c>
    </row>
    <row r="6" spans="1:15" ht="46.8" x14ac:dyDescent="0.3">
      <c r="A6" s="43">
        <f t="shared" si="0"/>
        <v>3</v>
      </c>
      <c r="B6" s="66" t="s">
        <v>150</v>
      </c>
      <c r="C6" s="41" t="s">
        <v>149</v>
      </c>
      <c r="D6" s="41" t="s">
        <v>99</v>
      </c>
      <c r="E6" s="67" t="s">
        <v>146</v>
      </c>
      <c r="F6" s="201"/>
      <c r="G6" s="64"/>
      <c r="H6" s="31"/>
      <c r="I6" s="63"/>
      <c r="J6" s="43">
        <f t="shared" si="1"/>
        <v>3</v>
      </c>
      <c r="K6" s="66" t="s">
        <v>150</v>
      </c>
      <c r="L6" s="41" t="s">
        <v>149</v>
      </c>
      <c r="M6" s="41" t="s">
        <v>99</v>
      </c>
      <c r="N6" s="67" t="s">
        <v>146</v>
      </c>
      <c r="O6" s="201"/>
    </row>
    <row r="7" spans="1:15" ht="46.8" x14ac:dyDescent="0.3">
      <c r="A7" s="43">
        <f t="shared" si="0"/>
        <v>4</v>
      </c>
      <c r="B7" s="66" t="s">
        <v>148</v>
      </c>
      <c r="C7" s="41" t="s">
        <v>147</v>
      </c>
      <c r="D7" s="41" t="s">
        <v>141</v>
      </c>
      <c r="E7" s="67" t="s">
        <v>146</v>
      </c>
      <c r="F7" s="201"/>
      <c r="G7" s="64"/>
      <c r="H7" s="31"/>
      <c r="I7" s="63"/>
      <c r="J7" s="43">
        <f t="shared" si="1"/>
        <v>4</v>
      </c>
      <c r="K7" s="66" t="s">
        <v>148</v>
      </c>
      <c r="L7" s="41" t="s">
        <v>147</v>
      </c>
      <c r="M7" s="41" t="s">
        <v>141</v>
      </c>
      <c r="N7" s="67" t="s">
        <v>146</v>
      </c>
      <c r="O7" s="201"/>
    </row>
    <row r="8" spans="1:15" ht="53.25" customHeight="1" x14ac:dyDescent="0.3">
      <c r="A8" s="43">
        <f t="shared" si="0"/>
        <v>5</v>
      </c>
      <c r="B8" s="66" t="s">
        <v>145</v>
      </c>
      <c r="C8" s="41" t="s">
        <v>144</v>
      </c>
      <c r="D8" s="41" t="s">
        <v>141</v>
      </c>
      <c r="F8" s="62">
        <f>U77</f>
        <v>0.74690115026100012</v>
      </c>
      <c r="G8" s="64"/>
      <c r="H8" s="31"/>
      <c r="I8" s="63"/>
      <c r="J8" s="43">
        <f t="shared" si="1"/>
        <v>5</v>
      </c>
      <c r="K8" s="66" t="s">
        <v>145</v>
      </c>
      <c r="L8" s="41" t="s">
        <v>144</v>
      </c>
      <c r="M8" s="41" t="s">
        <v>141</v>
      </c>
      <c r="O8" s="62">
        <f>U77</f>
        <v>0.74690115026100012</v>
      </c>
    </row>
    <row r="9" spans="1:15" ht="31.2" x14ac:dyDescent="0.3">
      <c r="A9" s="43">
        <f t="shared" si="0"/>
        <v>6</v>
      </c>
      <c r="B9" s="66" t="s">
        <v>143</v>
      </c>
      <c r="C9" s="41" t="s">
        <v>142</v>
      </c>
      <c r="D9" s="41" t="s">
        <v>141</v>
      </c>
      <c r="E9" s="50" t="s">
        <v>140</v>
      </c>
      <c r="F9" s="201">
        <f>ROUND(F8*(F4+0.101325)/0.1*(293.15/(273.15+F5))*1/F37,2)</f>
        <v>77.39</v>
      </c>
      <c r="G9" s="64"/>
      <c r="H9" s="31"/>
      <c r="I9" s="63"/>
      <c r="J9" s="43">
        <f t="shared" si="1"/>
        <v>6</v>
      </c>
      <c r="K9" s="66" t="s">
        <v>143</v>
      </c>
      <c r="L9" s="41" t="s">
        <v>142</v>
      </c>
      <c r="M9" s="41" t="s">
        <v>141</v>
      </c>
      <c r="N9" s="50" t="s">
        <v>140</v>
      </c>
      <c r="O9" s="201">
        <f>O8*(O4+0.101325)/0.1*(293.15/(273.15+O5))*1/O37</f>
        <v>10.723723793821421</v>
      </c>
    </row>
    <row r="10" spans="1:15" ht="26.4" customHeight="1" x14ac:dyDescent="0.35">
      <c r="A10" s="43">
        <f t="shared" si="0"/>
        <v>7</v>
      </c>
      <c r="B10" s="66"/>
      <c r="C10" s="41"/>
      <c r="D10" s="41"/>
      <c r="E10" s="51"/>
      <c r="F10" s="201"/>
      <c r="G10" s="64"/>
      <c r="H10" s="31"/>
      <c r="I10" s="63"/>
      <c r="J10" s="43">
        <f t="shared" si="1"/>
        <v>7</v>
      </c>
      <c r="K10" s="66"/>
      <c r="L10" s="41"/>
      <c r="M10" s="41"/>
      <c r="N10" s="51"/>
      <c r="O10" s="201"/>
    </row>
    <row r="11" spans="1:15" ht="37.200000000000003" customHeight="1" x14ac:dyDescent="0.3">
      <c r="A11" s="43">
        <f t="shared" si="0"/>
        <v>8</v>
      </c>
      <c r="B11" s="42"/>
      <c r="C11" s="41"/>
      <c r="D11" s="41"/>
      <c r="E11" s="65"/>
      <c r="F11" s="201"/>
      <c r="G11" s="64"/>
      <c r="H11" s="31"/>
      <c r="I11" s="63"/>
      <c r="J11" s="43">
        <f t="shared" si="1"/>
        <v>8</v>
      </c>
      <c r="K11" s="42"/>
      <c r="L11" s="41"/>
      <c r="M11" s="41"/>
      <c r="N11" s="65"/>
      <c r="O11" s="201"/>
    </row>
    <row r="12" spans="1:15" ht="45" customHeight="1" x14ac:dyDescent="0.3">
      <c r="A12" s="43">
        <f t="shared" si="0"/>
        <v>9</v>
      </c>
      <c r="B12" s="42" t="s">
        <v>139</v>
      </c>
      <c r="C12" s="41" t="s">
        <v>82</v>
      </c>
      <c r="D12" s="50" t="s">
        <v>138</v>
      </c>
      <c r="E12" s="61"/>
      <c r="F12" s="62">
        <f>Q77</f>
        <v>17.887545126660005</v>
      </c>
      <c r="G12" s="56"/>
      <c r="H12" s="31"/>
      <c r="I12" s="63"/>
      <c r="J12" s="43">
        <f t="shared" si="1"/>
        <v>9</v>
      </c>
      <c r="K12" s="42" t="s">
        <v>139</v>
      </c>
      <c r="L12" s="41" t="s">
        <v>82</v>
      </c>
      <c r="M12" s="50" t="s">
        <v>138</v>
      </c>
      <c r="N12" s="61"/>
      <c r="O12" s="62">
        <f>Q77</f>
        <v>17.887545126660005</v>
      </c>
    </row>
    <row r="13" spans="1:15" ht="51" customHeight="1" x14ac:dyDescent="0.3">
      <c r="A13" s="43">
        <f t="shared" si="0"/>
        <v>10</v>
      </c>
      <c r="B13" s="42" t="s">
        <v>103</v>
      </c>
      <c r="C13" s="41" t="s">
        <v>137</v>
      </c>
      <c r="D13" s="50" t="s">
        <v>99</v>
      </c>
      <c r="E13" s="61"/>
      <c r="F13" s="201">
        <f>ROUND(8.3143/F12,3)</f>
        <v>0.46500000000000002</v>
      </c>
      <c r="G13" s="64"/>
      <c r="H13" s="31"/>
      <c r="I13" s="63"/>
      <c r="J13" s="43">
        <f t="shared" si="1"/>
        <v>10</v>
      </c>
      <c r="K13" s="42" t="s">
        <v>103</v>
      </c>
      <c r="L13" s="41" t="s">
        <v>137</v>
      </c>
      <c r="M13" s="50" t="s">
        <v>99</v>
      </c>
      <c r="N13" s="61"/>
      <c r="O13" s="201">
        <f>8.3143/O12</f>
        <v>0.46480944931946966</v>
      </c>
    </row>
    <row r="14" spans="1:15" ht="51" customHeight="1" x14ac:dyDescent="0.3">
      <c r="A14" s="43">
        <f t="shared" si="0"/>
        <v>11</v>
      </c>
      <c r="B14" s="42" t="s">
        <v>136</v>
      </c>
      <c r="C14" s="41" t="s">
        <v>135</v>
      </c>
      <c r="D14" s="50" t="s">
        <v>99</v>
      </c>
      <c r="E14" s="61"/>
      <c r="F14" s="62">
        <f>O77</f>
        <v>4.6156976291800005</v>
      </c>
      <c r="G14" s="64"/>
      <c r="H14" s="31"/>
      <c r="I14" s="63"/>
      <c r="J14" s="43">
        <f t="shared" si="1"/>
        <v>11</v>
      </c>
      <c r="K14" s="42" t="s">
        <v>136</v>
      </c>
      <c r="L14" s="41" t="s">
        <v>135</v>
      </c>
      <c r="M14" s="50" t="s">
        <v>99</v>
      </c>
      <c r="N14" s="61"/>
      <c r="O14" s="62">
        <f>O77</f>
        <v>4.6156976291800005</v>
      </c>
    </row>
    <row r="15" spans="1:15" ht="52.5" customHeight="1" x14ac:dyDescent="0.25">
      <c r="A15" s="43">
        <f t="shared" si="0"/>
        <v>12</v>
      </c>
      <c r="B15" s="42" t="s">
        <v>134</v>
      </c>
      <c r="C15" s="41" t="s">
        <v>133</v>
      </c>
      <c r="D15" s="50" t="s">
        <v>99</v>
      </c>
      <c r="E15" s="61"/>
      <c r="F15" s="60">
        <f>M77</f>
        <v>202.09822224320004</v>
      </c>
      <c r="G15" s="59"/>
      <c r="H15" s="59"/>
      <c r="I15" s="31"/>
      <c r="J15" s="43">
        <f t="shared" si="1"/>
        <v>12</v>
      </c>
      <c r="K15" s="42" t="s">
        <v>134</v>
      </c>
      <c r="L15" s="41" t="s">
        <v>133</v>
      </c>
      <c r="M15" s="50" t="s">
        <v>99</v>
      </c>
      <c r="N15" s="61"/>
      <c r="O15" s="60">
        <f>M77</f>
        <v>202.09822224320004</v>
      </c>
    </row>
    <row r="16" spans="1:15" ht="48" customHeight="1" x14ac:dyDescent="0.25">
      <c r="A16" s="43">
        <f t="shared" si="0"/>
        <v>13</v>
      </c>
      <c r="B16" s="42" t="s">
        <v>103</v>
      </c>
      <c r="C16" s="41" t="s">
        <v>132</v>
      </c>
      <c r="D16" s="50" t="s">
        <v>99</v>
      </c>
      <c r="E16" s="39"/>
      <c r="F16" s="58">
        <f>ROUND((F4+0.101325)/F14,2)</f>
        <v>1.63</v>
      </c>
      <c r="G16" s="59"/>
      <c r="H16" s="59"/>
      <c r="I16" s="31"/>
      <c r="J16" s="43">
        <f t="shared" si="1"/>
        <v>13</v>
      </c>
      <c r="K16" s="42" t="s">
        <v>103</v>
      </c>
      <c r="L16" s="41" t="s">
        <v>132</v>
      </c>
      <c r="M16" s="50" t="s">
        <v>99</v>
      </c>
      <c r="N16" s="39"/>
      <c r="O16" s="58">
        <f>(O4+0.101325)/O14</f>
        <v>0.28193462929052093</v>
      </c>
    </row>
    <row r="17" spans="1:16" ht="45" customHeight="1" x14ac:dyDescent="0.25">
      <c r="A17" s="43">
        <f t="shared" si="0"/>
        <v>14</v>
      </c>
      <c r="B17" s="42" t="s">
        <v>103</v>
      </c>
      <c r="C17" s="41" t="s">
        <v>131</v>
      </c>
      <c r="D17" s="50" t="s">
        <v>99</v>
      </c>
      <c r="E17" s="39"/>
      <c r="F17" s="45">
        <f>ROUND((273.15+F5)/F15,2)</f>
        <v>1.35</v>
      </c>
      <c r="G17" s="57"/>
      <c r="H17" s="56"/>
      <c r="I17" s="56"/>
      <c r="J17" s="43">
        <f t="shared" si="1"/>
        <v>14</v>
      </c>
      <c r="K17" s="42" t="s">
        <v>103</v>
      </c>
      <c r="L17" s="41" t="s">
        <v>131</v>
      </c>
      <c r="M17" s="50" t="s">
        <v>99</v>
      </c>
      <c r="N17" s="39"/>
      <c r="O17" s="45">
        <f>(273.15+O5)/O15</f>
        <v>1.3763109685610253</v>
      </c>
    </row>
    <row r="18" spans="1:16" ht="51" customHeight="1" x14ac:dyDescent="0.25">
      <c r="A18" s="43">
        <f t="shared" si="0"/>
        <v>15</v>
      </c>
      <c r="B18" s="42" t="s">
        <v>103</v>
      </c>
      <c r="C18" s="41" t="s">
        <v>130</v>
      </c>
      <c r="D18" s="50" t="s">
        <v>99</v>
      </c>
      <c r="E18" s="39"/>
      <c r="F18" s="45">
        <f>4.437-1.015*F17+0.591*F17^2</f>
        <v>4.1438475000000006</v>
      </c>
      <c r="G18" s="37"/>
      <c r="H18" s="37"/>
      <c r="I18" s="37"/>
      <c r="J18" s="43">
        <f t="shared" si="1"/>
        <v>15</v>
      </c>
      <c r="K18" s="42" t="s">
        <v>103</v>
      </c>
      <c r="L18" s="41" t="s">
        <v>130</v>
      </c>
      <c r="M18" s="50" t="s">
        <v>99</v>
      </c>
      <c r="N18" s="39"/>
      <c r="O18" s="45">
        <f>4.437-1.015*O17+0.591*O17^2</f>
        <v>4.1595354092797594</v>
      </c>
    </row>
    <row r="19" spans="1:16" ht="45" customHeight="1" x14ac:dyDescent="0.25">
      <c r="A19" s="43">
        <f t="shared" si="0"/>
        <v>16</v>
      </c>
      <c r="B19" s="42" t="s">
        <v>103</v>
      </c>
      <c r="C19" s="41" t="s">
        <v>129</v>
      </c>
      <c r="D19" s="202" t="s">
        <v>99</v>
      </c>
      <c r="E19" s="39"/>
      <c r="F19" s="45">
        <f>3.29-11.37/F17+10.9/F17^2</f>
        <v>0.84857338820301909</v>
      </c>
      <c r="G19" s="37"/>
      <c r="H19" s="37"/>
      <c r="I19" s="37"/>
      <c r="J19" s="43">
        <f t="shared" si="1"/>
        <v>16</v>
      </c>
      <c r="K19" s="42" t="s">
        <v>103</v>
      </c>
      <c r="L19" s="41" t="s">
        <v>129</v>
      </c>
      <c r="M19" s="202" t="s">
        <v>99</v>
      </c>
      <c r="N19" s="39"/>
      <c r="O19" s="45">
        <f>3.29-11.37/O17+10.9/O17^2</f>
        <v>0.7830969343255223</v>
      </c>
    </row>
    <row r="20" spans="1:16" ht="54.75" customHeight="1" x14ac:dyDescent="0.25">
      <c r="A20" s="43">
        <f t="shared" si="0"/>
        <v>17</v>
      </c>
      <c r="B20" s="42" t="s">
        <v>103</v>
      </c>
      <c r="C20" s="41" t="s">
        <v>128</v>
      </c>
      <c r="D20" s="202" t="s">
        <v>99</v>
      </c>
      <c r="E20" s="39"/>
      <c r="F20" s="45">
        <f>3.23-16.27/(F17)+25.48/(F17^2)-11.81/(F17^3)</f>
        <v>0.35886247015190786</v>
      </c>
      <c r="G20" s="37"/>
      <c r="H20" s="37"/>
      <c r="I20" s="37"/>
      <c r="J20" s="43">
        <f t="shared" si="1"/>
        <v>17</v>
      </c>
      <c r="K20" s="42" t="s">
        <v>103</v>
      </c>
      <c r="L20" s="41" t="s">
        <v>128</v>
      </c>
      <c r="M20" s="202" t="s">
        <v>99</v>
      </c>
      <c r="N20" s="39"/>
      <c r="O20" s="45">
        <f>3.23-16.27/(O17)+25.48/(O17^2)-11.81/(O17^3)</f>
        <v>0.32988565381333412</v>
      </c>
    </row>
    <row r="21" spans="1:16" ht="55.5" customHeight="1" x14ac:dyDescent="0.25">
      <c r="A21" s="43">
        <f t="shared" si="0"/>
        <v>18</v>
      </c>
      <c r="B21" s="42" t="s">
        <v>103</v>
      </c>
      <c r="C21" s="41" t="s">
        <v>127</v>
      </c>
      <c r="D21" s="202" t="s">
        <v>99</v>
      </c>
      <c r="E21" s="39"/>
      <c r="F21" s="45">
        <f>-0.214+0.908/F17-0.967/(F17^2)</f>
        <v>-7.1997256515775043E-2</v>
      </c>
      <c r="G21" s="35"/>
      <c r="H21" s="35"/>
      <c r="I21" s="35"/>
      <c r="J21" s="43">
        <f t="shared" si="1"/>
        <v>18</v>
      </c>
      <c r="K21" s="42" t="s">
        <v>103</v>
      </c>
      <c r="L21" s="41" t="s">
        <v>127</v>
      </c>
      <c r="M21" s="202" t="s">
        <v>99</v>
      </c>
      <c r="N21" s="39"/>
      <c r="O21" s="45">
        <f>-0.214+0.908/O17-0.967/(O17^2)</f>
        <v>-6.4762537515804963E-2</v>
      </c>
    </row>
    <row r="22" spans="1:16" ht="45" customHeight="1" x14ac:dyDescent="0.25">
      <c r="A22" s="43">
        <f t="shared" si="0"/>
        <v>19</v>
      </c>
      <c r="B22" s="42" t="s">
        <v>125</v>
      </c>
      <c r="C22" s="41" t="s">
        <v>124</v>
      </c>
      <c r="D22" s="55" t="s">
        <v>126</v>
      </c>
      <c r="F22" s="201">
        <f>ROUND(F13*(F18+F19*F16+F20*F16^2+F21*F16^3),2)</f>
        <v>2.87</v>
      </c>
      <c r="G22" s="37"/>
      <c r="H22" s="37"/>
      <c r="I22" s="37"/>
      <c r="J22" s="43">
        <f t="shared" si="1"/>
        <v>19</v>
      </c>
      <c r="K22" s="42" t="s">
        <v>125</v>
      </c>
      <c r="L22" s="41" t="s">
        <v>124</v>
      </c>
      <c r="M22" s="55" t="s">
        <v>126</v>
      </c>
      <c r="O22" s="201">
        <f>O13*(O18+O19*O16+O20*O16^2+O21*O16^3)</f>
        <v>2.0475264711752859</v>
      </c>
      <c r="P22" s="13">
        <f>(O22/4.19)*O8</f>
        <v>0.36498803735338126</v>
      </c>
    </row>
    <row r="23" spans="1:16" ht="38.4" customHeight="1" x14ac:dyDescent="0.25">
      <c r="A23" s="43">
        <f t="shared" si="0"/>
        <v>20</v>
      </c>
      <c r="B23" s="42" t="s">
        <v>125</v>
      </c>
      <c r="C23" s="41" t="s">
        <v>124</v>
      </c>
      <c r="D23" s="55" t="s">
        <v>123</v>
      </c>
      <c r="E23" s="54" t="s">
        <v>99</v>
      </c>
      <c r="F23" s="201">
        <f>ROUND(F22/4.19*F8,3)</f>
        <v>0.51200000000000001</v>
      </c>
      <c r="G23" s="37"/>
      <c r="H23" s="37"/>
      <c r="I23" s="37"/>
      <c r="J23" s="43">
        <f t="shared" si="1"/>
        <v>20</v>
      </c>
      <c r="K23" s="42" t="s">
        <v>125</v>
      </c>
      <c r="L23" s="41" t="s">
        <v>124</v>
      </c>
      <c r="M23" s="55" t="s">
        <v>123</v>
      </c>
      <c r="N23" s="54" t="s">
        <v>99</v>
      </c>
      <c r="O23" s="201">
        <f>O22/4.19*O8</f>
        <v>0.36498803735338126</v>
      </c>
    </row>
    <row r="24" spans="1:16" ht="44.4" customHeight="1" x14ac:dyDescent="0.35">
      <c r="A24" s="43">
        <f t="shared" si="0"/>
        <v>21</v>
      </c>
      <c r="B24" s="42" t="s">
        <v>103</v>
      </c>
      <c r="C24" s="41" t="s">
        <v>122</v>
      </c>
      <c r="D24" s="51" t="s">
        <v>116</v>
      </c>
      <c r="E24" s="39"/>
      <c r="F24" s="45">
        <f>(1.81+5.95*F17)*10^(-6)</f>
        <v>9.8425000000000011E-6</v>
      </c>
      <c r="G24" s="52"/>
      <c r="H24" s="52"/>
      <c r="I24" s="52"/>
      <c r="J24" s="43">
        <f t="shared" si="1"/>
        <v>21</v>
      </c>
      <c r="K24" s="42" t="s">
        <v>103</v>
      </c>
      <c r="L24" s="41" t="s">
        <v>122</v>
      </c>
      <c r="M24" s="51" t="s">
        <v>116</v>
      </c>
      <c r="N24" s="39"/>
      <c r="O24" s="45">
        <f>(1.81+5.95*O17)*10^(-6)</f>
        <v>9.9990502629381007E-6</v>
      </c>
    </row>
    <row r="25" spans="1:16" ht="51" customHeight="1" x14ac:dyDescent="0.25">
      <c r="A25" s="43">
        <f t="shared" si="0"/>
        <v>22</v>
      </c>
      <c r="B25" s="42" t="s">
        <v>103</v>
      </c>
      <c r="C25" s="41" t="s">
        <v>121</v>
      </c>
      <c r="D25" s="202" t="s">
        <v>99</v>
      </c>
      <c r="E25" s="39"/>
      <c r="F25" s="45">
        <f>-0.67+2.36/F17-1.93/F17^2</f>
        <v>1.9163237311385473E-2</v>
      </c>
      <c r="G25" s="37"/>
      <c r="H25" s="37"/>
      <c r="I25" s="37"/>
      <c r="J25" s="43">
        <f t="shared" si="1"/>
        <v>22</v>
      </c>
      <c r="K25" s="42" t="s">
        <v>103</v>
      </c>
      <c r="L25" s="41" t="s">
        <v>121</v>
      </c>
      <c r="M25" s="202" t="s">
        <v>99</v>
      </c>
      <c r="N25" s="39"/>
      <c r="O25" s="45">
        <f>-0.67+2.36/O17-1.93/O17^2</f>
        <v>2.584610955133404E-2</v>
      </c>
    </row>
    <row r="26" spans="1:16" ht="50.25" customHeight="1" x14ac:dyDescent="0.25">
      <c r="A26" s="43">
        <f t="shared" si="0"/>
        <v>23</v>
      </c>
      <c r="B26" s="42" t="s">
        <v>103</v>
      </c>
      <c r="C26" s="41" t="s">
        <v>120</v>
      </c>
      <c r="D26" s="202" t="s">
        <v>99</v>
      </c>
      <c r="E26" s="39"/>
      <c r="F26" s="45">
        <f>0.8-2.89/F17+2.65/F17^2</f>
        <v>0.1133058984910833</v>
      </c>
      <c r="G26" s="37"/>
      <c r="H26" s="37"/>
      <c r="I26" s="37"/>
      <c r="J26" s="43">
        <f t="shared" si="1"/>
        <v>23</v>
      </c>
      <c r="K26" s="42" t="s">
        <v>103</v>
      </c>
      <c r="L26" s="41" t="s">
        <v>120</v>
      </c>
      <c r="M26" s="202" t="s">
        <v>99</v>
      </c>
      <c r="N26" s="39"/>
      <c r="O26" s="45">
        <f>0.8-2.89/O17+2.65/O17^2</f>
        <v>9.9167799027552794E-2</v>
      </c>
    </row>
    <row r="27" spans="1:16" ht="47.25" customHeight="1" x14ac:dyDescent="0.25">
      <c r="A27" s="43">
        <f t="shared" si="0"/>
        <v>24</v>
      </c>
      <c r="B27" s="42" t="s">
        <v>103</v>
      </c>
      <c r="C27" s="41" t="s">
        <v>119</v>
      </c>
      <c r="D27" s="202" t="s">
        <v>99</v>
      </c>
      <c r="E27" s="39"/>
      <c r="F27" s="45">
        <f>-0.1+0.354/F17-0.314/F17^2</f>
        <v>-1.0068587105624166E-2</v>
      </c>
      <c r="G27" s="37"/>
      <c r="H27" s="37"/>
      <c r="I27" s="37"/>
      <c r="J27" s="43">
        <f t="shared" si="1"/>
        <v>24</v>
      </c>
      <c r="K27" s="42" t="s">
        <v>103</v>
      </c>
      <c r="L27" s="41" t="s">
        <v>119</v>
      </c>
      <c r="M27" s="202" t="s">
        <v>99</v>
      </c>
      <c r="N27" s="39"/>
      <c r="O27" s="45">
        <f>-0.1+0.354/O17-0.314/O17^2</f>
        <v>-8.5570861202428627E-3</v>
      </c>
    </row>
    <row r="28" spans="1:16" ht="41.4" customHeight="1" x14ac:dyDescent="0.25">
      <c r="A28" s="43">
        <f t="shared" si="0"/>
        <v>25</v>
      </c>
      <c r="B28" s="42" t="s">
        <v>118</v>
      </c>
      <c r="C28" s="41" t="s">
        <v>117</v>
      </c>
      <c r="D28" s="50" t="s">
        <v>116</v>
      </c>
      <c r="E28" s="49"/>
      <c r="F28" s="45">
        <f>F24*(1+F25*F16+F26*F16^2+F27*F16^3)</f>
        <v>1.2683773993785107E-5</v>
      </c>
      <c r="G28" s="37"/>
      <c r="H28" s="37"/>
      <c r="I28" s="37"/>
      <c r="J28" s="43">
        <f t="shared" si="1"/>
        <v>25</v>
      </c>
      <c r="K28" s="42" t="s">
        <v>118</v>
      </c>
      <c r="L28" s="41" t="s">
        <v>117</v>
      </c>
      <c r="M28" s="50" t="s">
        <v>116</v>
      </c>
      <c r="N28" s="49"/>
      <c r="O28" s="45">
        <f>O24*(1+O25*O16+O26*O16^2+O27*O16^3)</f>
        <v>1.0148813155621344E-5</v>
      </c>
    </row>
    <row r="29" spans="1:16" ht="31.35" customHeight="1" x14ac:dyDescent="0.25">
      <c r="A29" s="43">
        <f t="shared" si="0"/>
        <v>26</v>
      </c>
      <c r="B29" s="42" t="s">
        <v>115</v>
      </c>
      <c r="C29" s="41" t="s">
        <v>114</v>
      </c>
      <c r="D29" s="202" t="s">
        <v>113</v>
      </c>
      <c r="E29" s="48" t="s">
        <v>112</v>
      </c>
      <c r="F29" s="45">
        <f>F28/F9</f>
        <v>1.6389422397964992E-7</v>
      </c>
      <c r="G29" s="37"/>
      <c r="H29" s="37"/>
      <c r="I29" s="37"/>
      <c r="J29" s="43">
        <f t="shared" si="1"/>
        <v>26</v>
      </c>
      <c r="K29" s="42" t="s">
        <v>115</v>
      </c>
      <c r="L29" s="41" t="s">
        <v>114</v>
      </c>
      <c r="M29" s="202" t="s">
        <v>113</v>
      </c>
      <c r="N29" s="48" t="s">
        <v>112</v>
      </c>
      <c r="O29" s="45">
        <f>O28/O9</f>
        <v>9.4638889911251564E-7</v>
      </c>
    </row>
    <row r="30" spans="1:16" ht="31.95" customHeight="1" x14ac:dyDescent="0.25">
      <c r="A30" s="43">
        <f t="shared" si="0"/>
        <v>27</v>
      </c>
      <c r="B30" s="42" t="s">
        <v>103</v>
      </c>
      <c r="C30" s="41" t="s">
        <v>111</v>
      </c>
      <c r="D30" s="202" t="s">
        <v>99</v>
      </c>
      <c r="E30" s="39"/>
      <c r="F30" s="45">
        <f>ROUND(24.96-20.3*F17+4.57*F17^2,2)</f>
        <v>5.88</v>
      </c>
      <c r="G30" s="37"/>
      <c r="H30" s="37"/>
      <c r="I30" s="37"/>
      <c r="J30" s="43">
        <f t="shared" si="1"/>
        <v>27</v>
      </c>
      <c r="K30" s="42" t="s">
        <v>103</v>
      </c>
      <c r="L30" s="41" t="s">
        <v>111</v>
      </c>
      <c r="M30" s="202" t="s">
        <v>99</v>
      </c>
      <c r="N30" s="39"/>
      <c r="O30" s="45">
        <f>24.96-20.3*O17+4.57*O17^2</f>
        <v>5.6775270397801272</v>
      </c>
    </row>
    <row r="31" spans="1:16" ht="45.75" customHeight="1" x14ac:dyDescent="0.25">
      <c r="A31" s="43">
        <f t="shared" si="0"/>
        <v>28</v>
      </c>
      <c r="B31" s="42" t="s">
        <v>103</v>
      </c>
      <c r="C31" s="41" t="s">
        <v>110</v>
      </c>
      <c r="D31" s="202" t="s">
        <v>99</v>
      </c>
      <c r="E31" s="39"/>
      <c r="F31" s="45">
        <f>ROUND(5.66-19.92/F17+16.89/F17^2,2)</f>
        <v>0.17</v>
      </c>
      <c r="G31" s="37"/>
      <c r="H31" s="37"/>
      <c r="I31" s="37"/>
      <c r="J31" s="43">
        <f t="shared" si="1"/>
        <v>28</v>
      </c>
      <c r="K31" s="42" t="s">
        <v>103</v>
      </c>
      <c r="L31" s="41" t="s">
        <v>110</v>
      </c>
      <c r="M31" s="202" t="s">
        <v>99</v>
      </c>
      <c r="N31" s="39"/>
      <c r="O31" s="45">
        <f>5.66-19.92/O17+16.89/O17^2</f>
        <v>0.10306972512055701</v>
      </c>
    </row>
    <row r="32" spans="1:16" ht="39.6" customHeight="1" x14ac:dyDescent="0.25">
      <c r="A32" s="43">
        <f t="shared" si="0"/>
        <v>29</v>
      </c>
      <c r="B32" s="42" t="s">
        <v>103</v>
      </c>
      <c r="C32" s="41" t="s">
        <v>109</v>
      </c>
      <c r="D32" s="202" t="s">
        <v>99</v>
      </c>
      <c r="E32" s="39"/>
      <c r="F32" s="45">
        <f>ROUND(-4.11+14.68/F17-13.39/F17^2,2)</f>
        <v>-0.57999999999999996</v>
      </c>
      <c r="G32" s="37"/>
      <c r="H32" s="37"/>
      <c r="I32" s="37"/>
      <c r="J32" s="43">
        <f t="shared" si="1"/>
        <v>29</v>
      </c>
      <c r="K32" s="42" t="s">
        <v>103</v>
      </c>
      <c r="L32" s="41" t="s">
        <v>109</v>
      </c>
      <c r="M32" s="202" t="s">
        <v>99</v>
      </c>
      <c r="N32" s="39"/>
      <c r="O32" s="45">
        <f>-4.11+14.68/O17-13.39/O17^2</f>
        <v>-0.51263418508794167</v>
      </c>
    </row>
    <row r="33" spans="1:24" ht="53.25" customHeight="1" x14ac:dyDescent="0.25">
      <c r="A33" s="43">
        <f t="shared" si="0"/>
        <v>30</v>
      </c>
      <c r="B33" s="42" t="s">
        <v>103</v>
      </c>
      <c r="C33" s="41" t="s">
        <v>108</v>
      </c>
      <c r="D33" s="202" t="s">
        <v>99</v>
      </c>
      <c r="E33" s="39"/>
      <c r="F33" s="45">
        <f>0.568-2/F17+1.79/F17^2</f>
        <v>6.8685871056241354E-2</v>
      </c>
      <c r="G33" s="37"/>
      <c r="H33" s="37"/>
      <c r="I33" s="37"/>
      <c r="J33" s="43">
        <f t="shared" si="1"/>
        <v>30</v>
      </c>
      <c r="K33" s="42" t="s">
        <v>103</v>
      </c>
      <c r="L33" s="41" t="s">
        <v>108</v>
      </c>
      <c r="M33" s="202" t="s">
        <v>99</v>
      </c>
      <c r="N33" s="39"/>
      <c r="O33" s="45">
        <f>0.568-2/O17+1.79/O17^2</f>
        <v>5.9814098275285943E-2</v>
      </c>
    </row>
    <row r="34" spans="1:24" ht="42" customHeight="1" x14ac:dyDescent="0.25">
      <c r="A34" s="43">
        <f t="shared" si="0"/>
        <v>31</v>
      </c>
      <c r="B34" s="42" t="s">
        <v>107</v>
      </c>
      <c r="C34" s="41" t="s">
        <v>106</v>
      </c>
      <c r="D34" s="202" t="s">
        <v>105</v>
      </c>
      <c r="E34" s="39"/>
      <c r="F34" s="38">
        <f>ROUND(F30+F31*F16+F32*F16^2+F33*F16^3,2)</f>
        <v>4.91</v>
      </c>
      <c r="G34" s="37"/>
      <c r="H34" s="37"/>
      <c r="I34" s="37"/>
      <c r="J34" s="43">
        <f t="shared" si="1"/>
        <v>31</v>
      </c>
      <c r="K34" s="42" t="s">
        <v>107</v>
      </c>
      <c r="L34" s="41" t="s">
        <v>106</v>
      </c>
      <c r="M34" s="202" t="s">
        <v>105</v>
      </c>
      <c r="N34" s="39"/>
      <c r="O34" s="38">
        <f>(O30+O31*O16+O32*O16^2+O33*O16^3)*1.1</f>
        <v>6.2338964448393712</v>
      </c>
    </row>
    <row r="35" spans="1:24" ht="39.75" customHeight="1" x14ac:dyDescent="0.25">
      <c r="A35" s="43">
        <f t="shared" si="0"/>
        <v>32</v>
      </c>
      <c r="B35" s="42" t="s">
        <v>103</v>
      </c>
      <c r="C35" s="41" t="s">
        <v>104</v>
      </c>
      <c r="D35" s="202" t="s">
        <v>99</v>
      </c>
      <c r="E35" s="39"/>
      <c r="F35" s="45">
        <f>-0.39+2.03/F17-3.16/F17^2+1.09/F17^3</f>
        <v>-0.17715642940608678</v>
      </c>
      <c r="G35" s="47"/>
      <c r="H35" s="36"/>
      <c r="I35" s="36"/>
      <c r="J35" s="43">
        <f t="shared" si="1"/>
        <v>32</v>
      </c>
      <c r="K35" s="42" t="s">
        <v>103</v>
      </c>
      <c r="L35" s="41" t="s">
        <v>104</v>
      </c>
      <c r="M35" s="202" t="s">
        <v>99</v>
      </c>
      <c r="N35" s="39"/>
      <c r="O35" s="45">
        <f>-0.39+2.03/O17-3.16/O17^2+1.09/O17^3</f>
        <v>-0.16516826131775819</v>
      </c>
    </row>
    <row r="36" spans="1:24" ht="42" customHeight="1" x14ac:dyDescent="0.25">
      <c r="A36" s="43">
        <f t="shared" si="0"/>
        <v>33</v>
      </c>
      <c r="B36" s="42" t="s">
        <v>103</v>
      </c>
      <c r="C36" s="41" t="s">
        <v>102</v>
      </c>
      <c r="D36" s="202" t="s">
        <v>99</v>
      </c>
      <c r="E36" s="39"/>
      <c r="F36" s="45">
        <f>0.0423-0.1812/F17+0.2124/F17^2</f>
        <v>2.4620987654320983E-2</v>
      </c>
      <c r="G36" s="37"/>
      <c r="H36" s="37"/>
      <c r="I36" s="37"/>
      <c r="J36" s="43">
        <f t="shared" si="1"/>
        <v>33</v>
      </c>
      <c r="K36" s="42" t="s">
        <v>103</v>
      </c>
      <c r="L36" s="41" t="s">
        <v>102</v>
      </c>
      <c r="M36" s="202" t="s">
        <v>99</v>
      </c>
      <c r="N36" s="39"/>
      <c r="O36" s="45">
        <f>0.0423-0.1812/O17+0.2124/O17^2</f>
        <v>2.2773590455745521E-2</v>
      </c>
    </row>
    <row r="37" spans="1:24" ht="28.2" customHeight="1" x14ac:dyDescent="0.3">
      <c r="A37" s="43">
        <f t="shared" si="0"/>
        <v>34</v>
      </c>
      <c r="B37" s="42" t="s">
        <v>101</v>
      </c>
      <c r="C37" s="41" t="s">
        <v>100</v>
      </c>
      <c r="D37" s="40" t="s">
        <v>99</v>
      </c>
      <c r="E37" s="39"/>
      <c r="F37" s="38">
        <f>ROUND(1+F35*F16+F36*F16^2,3)</f>
        <v>0.77700000000000002</v>
      </c>
      <c r="G37" s="44"/>
      <c r="H37" s="44"/>
      <c r="I37" s="44"/>
      <c r="J37" s="43">
        <f t="shared" si="1"/>
        <v>34</v>
      </c>
      <c r="K37" s="42" t="s">
        <v>101</v>
      </c>
      <c r="L37" s="41" t="s">
        <v>100</v>
      </c>
      <c r="M37" s="40" t="s">
        <v>99</v>
      </c>
      <c r="N37" s="39"/>
      <c r="O37" s="38">
        <f>1+O35*O16+O36*O16^2</f>
        <v>0.95524355493820801</v>
      </c>
    </row>
    <row r="38" spans="1:24" ht="15" customHeight="1" x14ac:dyDescent="0.25">
      <c r="B38" s="35"/>
      <c r="C38" s="35"/>
      <c r="D38" s="35"/>
      <c r="E38" s="35"/>
      <c r="F38" s="35"/>
      <c r="G38" s="37"/>
      <c r="H38" s="37"/>
      <c r="I38" s="37"/>
    </row>
    <row r="39" spans="1:24" ht="17.399999999999999" customHeight="1" x14ac:dyDescent="0.25">
      <c r="B39" s="35"/>
      <c r="C39" s="35"/>
      <c r="D39" s="35"/>
      <c r="E39" s="35"/>
      <c r="F39" s="35"/>
      <c r="G39" s="37"/>
      <c r="H39" s="37"/>
      <c r="I39" s="37"/>
    </row>
    <row r="40" spans="1:24" ht="18" customHeight="1" x14ac:dyDescent="0.25">
      <c r="G40" s="37"/>
      <c r="H40" s="37"/>
      <c r="I40" s="37"/>
    </row>
    <row r="41" spans="1:24" ht="14.4" customHeight="1" x14ac:dyDescent="0.25">
      <c r="G41" s="37"/>
      <c r="H41" s="37"/>
      <c r="I41" s="37"/>
    </row>
    <row r="42" spans="1:24" ht="17.399999999999999" customHeight="1" x14ac:dyDescent="0.25">
      <c r="G42" s="36"/>
      <c r="H42" s="36"/>
      <c r="I42" s="36"/>
    </row>
    <row r="44" spans="1:24" ht="109.2" x14ac:dyDescent="0.25">
      <c r="A44" s="27" t="s">
        <v>98</v>
      </c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19"/>
      <c r="M44" s="19"/>
      <c r="N44" s="19"/>
      <c r="O44" s="19"/>
      <c r="P44" s="35"/>
      <c r="Q44" s="31"/>
      <c r="R44" s="31"/>
    </row>
    <row r="45" spans="1:24" ht="126" x14ac:dyDescent="0.25">
      <c r="A45" s="27" t="s">
        <v>1</v>
      </c>
      <c r="B45" s="27" t="s">
        <v>2</v>
      </c>
      <c r="C45" s="34" t="s">
        <v>3</v>
      </c>
      <c r="D45" s="34" t="s">
        <v>97</v>
      </c>
      <c r="E45" s="34" t="s">
        <v>96</v>
      </c>
      <c r="F45" s="34" t="s">
        <v>95</v>
      </c>
      <c r="G45" s="34" t="s">
        <v>94</v>
      </c>
      <c r="H45" s="27" t="s">
        <v>93</v>
      </c>
      <c r="I45" s="27" t="s">
        <v>92</v>
      </c>
      <c r="J45" s="27" t="s">
        <v>91</v>
      </c>
      <c r="K45" s="27" t="s">
        <v>90</v>
      </c>
      <c r="L45" s="19"/>
      <c r="M45" s="33" t="s">
        <v>89</v>
      </c>
      <c r="N45" s="19"/>
      <c r="O45" s="33" t="s">
        <v>88</v>
      </c>
      <c r="P45" s="19"/>
      <c r="Q45" s="33" t="s">
        <v>87</v>
      </c>
      <c r="R45" s="31"/>
      <c r="S45" s="33" t="s">
        <v>86</v>
      </c>
      <c r="U45" s="33"/>
      <c r="X45" s="33" t="s">
        <v>85</v>
      </c>
    </row>
    <row r="46" spans="1:24" ht="21" x14ac:dyDescent="0.25">
      <c r="A46" s="27"/>
      <c r="B46" s="27"/>
      <c r="C46" s="27"/>
      <c r="D46" s="34"/>
      <c r="E46" s="34"/>
      <c r="F46" s="34"/>
      <c r="G46" s="34"/>
      <c r="H46" s="27"/>
      <c r="I46" s="27"/>
      <c r="J46" s="27"/>
      <c r="K46" s="27"/>
      <c r="L46" s="19"/>
      <c r="M46" s="33"/>
      <c r="N46" s="19"/>
      <c r="O46" s="33"/>
      <c r="P46" s="19"/>
      <c r="Q46" s="33"/>
      <c r="R46" s="31"/>
      <c r="S46" s="33"/>
      <c r="U46" s="33"/>
      <c r="X46" s="33"/>
    </row>
    <row r="47" spans="1:24" ht="15.6" x14ac:dyDescent="0.25">
      <c r="A47" s="30" t="s">
        <v>4</v>
      </c>
      <c r="B47" s="27" t="s">
        <v>5</v>
      </c>
      <c r="C47" s="29">
        <f>'Исходные данные'!C13</f>
        <v>91.799000000000007</v>
      </c>
      <c r="D47" s="28">
        <f t="shared" ref="D47:D76" si="2">C47/100</f>
        <v>0.91799000000000008</v>
      </c>
      <c r="E47" s="28">
        <f t="shared" ref="E47:E76" si="3">D47/F47/$S$77</f>
        <v>0.91712867288919886</v>
      </c>
      <c r="F47" s="27">
        <v>0.99809999999999999</v>
      </c>
      <c r="G47" s="26">
        <v>16.042999999999999</v>
      </c>
      <c r="H47" s="25">
        <v>0.66820000000000002</v>
      </c>
      <c r="I47" s="24">
        <v>190.56</v>
      </c>
      <c r="J47" s="23">
        <v>4.5987999999999998</v>
      </c>
      <c r="K47" s="22">
        <v>111.65</v>
      </c>
      <c r="L47" s="19"/>
      <c r="M47" s="18">
        <f t="shared" ref="M47:M76" si="4">D47*I47</f>
        <v>174.93217440000001</v>
      </c>
      <c r="N47" s="19"/>
      <c r="O47" s="16">
        <f t="shared" ref="O47:O76" si="5">D47*J47</f>
        <v>4.2216524120000001</v>
      </c>
      <c r="P47" s="19"/>
      <c r="Q47" s="16">
        <f t="shared" ref="Q47:Q76" si="6">D47*G47</f>
        <v>14.727313570000002</v>
      </c>
      <c r="R47" s="31"/>
      <c r="S47" s="16">
        <f t="shared" ref="S47:S76" si="7">D47/F47</f>
        <v>0.91973750125237963</v>
      </c>
      <c r="U47" s="14">
        <f t="shared" ref="U47:U76" si="8">D47*H47</f>
        <v>0.61340091800000007</v>
      </c>
      <c r="X47" s="14">
        <f t="shared" ref="X47:X76" si="9">E47/F47</f>
        <v>0.91887453450475787</v>
      </c>
    </row>
    <row r="48" spans="1:24" ht="15.6" x14ac:dyDescent="0.25">
      <c r="A48" s="30" t="s">
        <v>6</v>
      </c>
      <c r="B48" s="27" t="s">
        <v>7</v>
      </c>
      <c r="C48" s="29">
        <f>'Исходные данные'!C14</f>
        <v>4.28</v>
      </c>
      <c r="D48" s="28">
        <f t="shared" si="2"/>
        <v>4.2800000000000005E-2</v>
      </c>
      <c r="E48" s="28">
        <f t="shared" si="3"/>
        <v>4.3022780371468096E-2</v>
      </c>
      <c r="F48" s="27">
        <v>0.99199999999999999</v>
      </c>
      <c r="G48" s="26">
        <v>30.07</v>
      </c>
      <c r="H48" s="25">
        <v>1.2601</v>
      </c>
      <c r="I48" s="24">
        <v>305.83</v>
      </c>
      <c r="J48" s="23">
        <v>4.88</v>
      </c>
      <c r="K48" s="22">
        <v>184.55</v>
      </c>
      <c r="L48" s="19"/>
      <c r="M48" s="18">
        <f t="shared" si="4"/>
        <v>13.089524000000001</v>
      </c>
      <c r="N48" s="19"/>
      <c r="O48" s="16">
        <f t="shared" si="5"/>
        <v>0.20886400000000002</v>
      </c>
      <c r="P48" s="19"/>
      <c r="Q48" s="16">
        <f t="shared" si="6"/>
        <v>1.2869960000000003</v>
      </c>
      <c r="R48" s="31"/>
      <c r="S48" s="16">
        <f t="shared" si="7"/>
        <v>4.3145161290322587E-2</v>
      </c>
      <c r="U48" s="14">
        <f t="shared" si="8"/>
        <v>5.3932280000000006E-2</v>
      </c>
      <c r="X48" s="14">
        <f t="shared" si="9"/>
        <v>4.3369738277689612E-2</v>
      </c>
    </row>
    <row r="49" spans="1:24" ht="15.6" x14ac:dyDescent="0.25">
      <c r="A49" s="30" t="s">
        <v>8</v>
      </c>
      <c r="B49" s="27" t="s">
        <v>9</v>
      </c>
      <c r="C49" s="29">
        <f>'Исходные данные'!C15</f>
        <v>1.87</v>
      </c>
      <c r="D49" s="28">
        <f t="shared" si="2"/>
        <v>1.8700000000000001E-2</v>
      </c>
      <c r="E49" s="28">
        <f t="shared" si="3"/>
        <v>1.8961722181742191E-2</v>
      </c>
      <c r="F49" s="27">
        <v>0.98340000000000005</v>
      </c>
      <c r="G49" s="26">
        <v>44.097000000000001</v>
      </c>
      <c r="H49" s="25">
        <v>1.8641000000000001</v>
      </c>
      <c r="I49" s="24">
        <v>369.82</v>
      </c>
      <c r="J49" s="23">
        <v>4.25</v>
      </c>
      <c r="K49" s="22">
        <v>231.05</v>
      </c>
      <c r="L49" s="19"/>
      <c r="M49" s="18">
        <f t="shared" si="4"/>
        <v>6.9156340000000007</v>
      </c>
      <c r="N49" s="19"/>
      <c r="O49" s="16">
        <f t="shared" si="5"/>
        <v>7.9475000000000004E-2</v>
      </c>
      <c r="P49" s="19"/>
      <c r="Q49" s="16">
        <f t="shared" si="6"/>
        <v>0.82461390000000012</v>
      </c>
      <c r="R49" s="31"/>
      <c r="S49" s="16">
        <f t="shared" si="7"/>
        <v>1.901565995525727E-2</v>
      </c>
      <c r="U49" s="14">
        <f t="shared" si="8"/>
        <v>3.4858670000000001E-2</v>
      </c>
      <c r="X49" s="14">
        <f t="shared" si="9"/>
        <v>1.9281800062784411E-2</v>
      </c>
    </row>
    <row r="50" spans="1:24" ht="15.6" x14ac:dyDescent="0.25">
      <c r="A50" s="30" t="s">
        <v>10</v>
      </c>
      <c r="B50" s="27" t="s">
        <v>11</v>
      </c>
      <c r="C50" s="29">
        <f>'Исходные данные'!C16</f>
        <v>0.4803</v>
      </c>
      <c r="D50" s="28">
        <f t="shared" si="2"/>
        <v>4.803E-3</v>
      </c>
      <c r="E50" s="28">
        <f t="shared" si="3"/>
        <v>4.9466807760418681E-3</v>
      </c>
      <c r="F50" s="27">
        <v>0.96819999999999995</v>
      </c>
      <c r="G50" s="26">
        <v>58.122999999999998</v>
      </c>
      <c r="H50" s="25">
        <v>2.4956</v>
      </c>
      <c r="I50" s="24">
        <v>425.14</v>
      </c>
      <c r="J50" s="23">
        <v>3.7839999999999998</v>
      </c>
      <c r="K50" s="22">
        <v>272.67</v>
      </c>
      <c r="L50" s="19"/>
      <c r="M50" s="18">
        <f t="shared" si="4"/>
        <v>2.0419474200000001</v>
      </c>
      <c r="N50" s="19"/>
      <c r="O50" s="16">
        <f t="shared" si="5"/>
        <v>1.8174552E-2</v>
      </c>
      <c r="P50" s="19"/>
      <c r="Q50" s="16">
        <f t="shared" si="6"/>
        <v>0.27916476899999998</v>
      </c>
      <c r="R50" s="31"/>
      <c r="S50" s="16">
        <f t="shared" si="7"/>
        <v>4.9607519107622393E-3</v>
      </c>
      <c r="U50" s="14">
        <f t="shared" si="8"/>
        <v>1.19863668E-2</v>
      </c>
      <c r="X50" s="14">
        <f t="shared" si="9"/>
        <v>5.1091518033896596E-3</v>
      </c>
    </row>
    <row r="51" spans="1:24" ht="15.6" x14ac:dyDescent="0.25">
      <c r="A51" s="30" t="s">
        <v>12</v>
      </c>
      <c r="B51" s="27" t="s">
        <v>13</v>
      </c>
      <c r="C51" s="29">
        <f>'Исходные данные'!C17</f>
        <v>0.37323000000000001</v>
      </c>
      <c r="D51" s="28">
        <f t="shared" si="2"/>
        <v>3.7323E-3</v>
      </c>
      <c r="E51" s="28">
        <f t="shared" si="3"/>
        <v>3.8328664878434144E-3</v>
      </c>
      <c r="F51" s="27">
        <v>0.97099999999999997</v>
      </c>
      <c r="G51" s="26">
        <v>58.122999999999998</v>
      </c>
      <c r="H51" s="25">
        <v>2.488</v>
      </c>
      <c r="I51" s="24">
        <v>408.13</v>
      </c>
      <c r="J51" s="23">
        <v>3.6480000000000001</v>
      </c>
      <c r="K51" s="22">
        <v>261.42</v>
      </c>
      <c r="L51" s="19"/>
      <c r="M51" s="18">
        <f t="shared" si="4"/>
        <v>1.5232635990000001</v>
      </c>
      <c r="N51" s="19"/>
      <c r="O51" s="16">
        <f t="shared" si="5"/>
        <v>1.3615430400000001E-2</v>
      </c>
      <c r="P51" s="19"/>
      <c r="Q51" s="16">
        <f t="shared" si="6"/>
        <v>0.21693247290000001</v>
      </c>
      <c r="R51" s="31"/>
      <c r="S51" s="16">
        <f t="shared" si="7"/>
        <v>3.8437693099897014E-3</v>
      </c>
      <c r="U51" s="14">
        <f t="shared" si="8"/>
        <v>9.2859624000000002E-3</v>
      </c>
      <c r="X51" s="14">
        <f t="shared" si="9"/>
        <v>3.947339328366029E-3</v>
      </c>
    </row>
    <row r="52" spans="1:24" ht="55.5" customHeight="1" x14ac:dyDescent="0.25">
      <c r="A52" s="30" t="s">
        <v>14</v>
      </c>
      <c r="B52" s="27" t="s">
        <v>15</v>
      </c>
      <c r="C52" s="29">
        <f>'Исходные данные'!C18</f>
        <v>7.8049999999999994E-2</v>
      </c>
      <c r="D52" s="28">
        <f t="shared" si="2"/>
        <v>7.8049999999999994E-4</v>
      </c>
      <c r="E52" s="28">
        <f t="shared" si="3"/>
        <v>8.2358319337614086E-4</v>
      </c>
      <c r="F52" s="27">
        <v>0.94499999999999995</v>
      </c>
      <c r="G52" s="26">
        <v>72.150000000000006</v>
      </c>
      <c r="H52" s="25">
        <v>3.1739999999999999</v>
      </c>
      <c r="I52" s="24">
        <v>469.69</v>
      </c>
      <c r="J52" s="23">
        <v>3.3639999999999999</v>
      </c>
      <c r="K52" s="22">
        <v>309.19</v>
      </c>
      <c r="L52" s="19"/>
      <c r="M52" s="18">
        <f t="shared" si="4"/>
        <v>0.36659304499999995</v>
      </c>
      <c r="N52" s="19"/>
      <c r="O52" s="16">
        <f t="shared" si="5"/>
        <v>2.6256019999999999E-3</v>
      </c>
      <c r="P52" s="19"/>
      <c r="Q52" s="16">
        <f t="shared" si="6"/>
        <v>5.6313074999999997E-2</v>
      </c>
      <c r="R52" s="31"/>
      <c r="S52" s="16">
        <f t="shared" si="7"/>
        <v>8.2592592592592592E-4</v>
      </c>
      <c r="U52" s="14">
        <f t="shared" si="8"/>
        <v>2.4773069999999998E-3</v>
      </c>
      <c r="X52" s="14">
        <f t="shared" si="9"/>
        <v>8.7151660674723906E-4</v>
      </c>
    </row>
    <row r="53" spans="1:24" ht="31.2" x14ac:dyDescent="0.25">
      <c r="A53" s="30" t="s">
        <v>16</v>
      </c>
      <c r="B53" s="27" t="s">
        <v>17</v>
      </c>
      <c r="C53" s="29">
        <f>'Исходные данные'!C19</f>
        <v>1.2508E-2</v>
      </c>
      <c r="D53" s="28">
        <f t="shared" si="2"/>
        <v>1.2507999999999999E-4</v>
      </c>
      <c r="E53" s="28">
        <f t="shared" si="3"/>
        <v>1.3087640245541189E-4</v>
      </c>
      <c r="F53" s="27">
        <v>0.95299999999999996</v>
      </c>
      <c r="G53" s="26">
        <v>72.150000000000006</v>
      </c>
      <c r="H53" s="25">
        <v>3.1469999999999998</v>
      </c>
      <c r="I53" s="24">
        <v>460.39</v>
      </c>
      <c r="J53" s="23">
        <v>3.3809999999999998</v>
      </c>
      <c r="K53" s="22">
        <v>301.02</v>
      </c>
      <c r="L53" s="19"/>
      <c r="M53" s="18">
        <f t="shared" si="4"/>
        <v>5.7585581199999993E-2</v>
      </c>
      <c r="N53" s="19"/>
      <c r="O53" s="16">
        <f t="shared" si="5"/>
        <v>4.2289547999999993E-4</v>
      </c>
      <c r="P53" s="19"/>
      <c r="Q53" s="16">
        <f t="shared" si="6"/>
        <v>9.0245220000000001E-3</v>
      </c>
      <c r="R53" s="31"/>
      <c r="S53" s="16">
        <f t="shared" si="7"/>
        <v>1.3124868835257081E-4</v>
      </c>
      <c r="U53" s="14">
        <f t="shared" si="8"/>
        <v>3.9362675999999995E-4</v>
      </c>
      <c r="X53" s="14">
        <f t="shared" si="9"/>
        <v>1.373309574558362E-4</v>
      </c>
    </row>
    <row r="54" spans="1:24" ht="31.2" x14ac:dyDescent="0.25">
      <c r="A54" s="30" t="s">
        <v>18</v>
      </c>
      <c r="B54" s="27" t="s">
        <v>19</v>
      </c>
      <c r="C54" s="29">
        <f>'Исходные данные'!C20</f>
        <v>7.3050000000000004E-2</v>
      </c>
      <c r="D54" s="28">
        <f t="shared" si="2"/>
        <v>7.3050000000000003E-4</v>
      </c>
      <c r="E54" s="28">
        <f t="shared" si="3"/>
        <v>7.9263105805951653E-4</v>
      </c>
      <c r="F54" s="27">
        <v>0.91900000000000004</v>
      </c>
      <c r="G54" s="26">
        <v>86.177000000000007</v>
      </c>
      <c r="H54" s="25">
        <v>3.8980000000000001</v>
      </c>
      <c r="I54" s="24">
        <v>506.4</v>
      </c>
      <c r="J54" s="23">
        <v>3.03</v>
      </c>
      <c r="K54" s="22">
        <v>341.89</v>
      </c>
      <c r="L54" s="19"/>
      <c r="M54" s="18">
        <f t="shared" si="4"/>
        <v>0.36992520000000001</v>
      </c>
      <c r="N54" s="19"/>
      <c r="O54" s="16">
        <f t="shared" si="5"/>
        <v>2.2134149999999998E-3</v>
      </c>
      <c r="P54" s="19"/>
      <c r="Q54" s="16">
        <f t="shared" si="6"/>
        <v>6.2952298500000003E-2</v>
      </c>
      <c r="R54" s="31"/>
      <c r="S54" s="16">
        <f t="shared" si="7"/>
        <v>7.9488574537540805E-4</v>
      </c>
      <c r="U54" s="14">
        <f t="shared" si="8"/>
        <v>2.8474890000000004E-3</v>
      </c>
      <c r="X54" s="14">
        <f t="shared" si="9"/>
        <v>8.6249299027150875E-4</v>
      </c>
    </row>
    <row r="55" spans="1:24" ht="31.2" x14ac:dyDescent="0.25">
      <c r="A55" s="30" t="s">
        <v>20</v>
      </c>
      <c r="B55" s="27" t="s">
        <v>21</v>
      </c>
      <c r="C55" s="29">
        <f>'Исходные данные'!C21</f>
        <v>0</v>
      </c>
      <c r="D55" s="28">
        <f t="shared" si="2"/>
        <v>0</v>
      </c>
      <c r="E55" s="28">
        <f t="shared" si="3"/>
        <v>0</v>
      </c>
      <c r="F55" s="27">
        <v>0.876</v>
      </c>
      <c r="G55" s="26">
        <v>100.20399999999999</v>
      </c>
      <c r="H55" s="25">
        <v>4.7549999999999999</v>
      </c>
      <c r="I55" s="24">
        <v>539.20000000000005</v>
      </c>
      <c r="J55" s="23">
        <v>2.74</v>
      </c>
      <c r="K55" s="22">
        <v>371.58</v>
      </c>
      <c r="L55" s="19"/>
      <c r="M55" s="18">
        <f t="shared" si="4"/>
        <v>0</v>
      </c>
      <c r="N55" s="19"/>
      <c r="O55" s="16">
        <f t="shared" si="5"/>
        <v>0</v>
      </c>
      <c r="P55" s="19"/>
      <c r="Q55" s="16">
        <f t="shared" si="6"/>
        <v>0</v>
      </c>
      <c r="R55" s="32"/>
      <c r="S55" s="16">
        <f t="shared" si="7"/>
        <v>0</v>
      </c>
      <c r="U55" s="14">
        <f t="shared" si="8"/>
        <v>0</v>
      </c>
      <c r="X55" s="14">
        <f t="shared" si="9"/>
        <v>0</v>
      </c>
    </row>
    <row r="56" spans="1:24" ht="15.6" x14ac:dyDescent="0.25">
      <c r="A56" s="30" t="s">
        <v>22</v>
      </c>
      <c r="B56" s="27" t="s">
        <v>23</v>
      </c>
      <c r="C56" s="29">
        <f>'Исходные данные'!C22</f>
        <v>0</v>
      </c>
      <c r="D56" s="28">
        <f t="shared" si="2"/>
        <v>0</v>
      </c>
      <c r="E56" s="28">
        <f t="shared" si="3"/>
        <v>0</v>
      </c>
      <c r="F56" s="27">
        <v>0.81699999999999995</v>
      </c>
      <c r="G56" s="26">
        <v>114.23099999999999</v>
      </c>
      <c r="H56" s="25">
        <v>5.8120000000000003</v>
      </c>
      <c r="I56" s="24">
        <v>568.4</v>
      </c>
      <c r="J56" s="23">
        <v>2.4900000000000002</v>
      </c>
      <c r="K56" s="22">
        <v>398.83</v>
      </c>
      <c r="L56" s="19"/>
      <c r="M56" s="18">
        <f t="shared" si="4"/>
        <v>0</v>
      </c>
      <c r="N56" s="19"/>
      <c r="O56" s="16">
        <f t="shared" si="5"/>
        <v>0</v>
      </c>
      <c r="P56" s="19"/>
      <c r="Q56" s="16">
        <f t="shared" si="6"/>
        <v>0</v>
      </c>
      <c r="R56" s="31"/>
      <c r="S56" s="16">
        <f t="shared" si="7"/>
        <v>0</v>
      </c>
      <c r="U56" s="14">
        <f t="shared" si="8"/>
        <v>0</v>
      </c>
      <c r="X56" s="14">
        <f t="shared" si="9"/>
        <v>0</v>
      </c>
    </row>
    <row r="57" spans="1:24" ht="31.2" x14ac:dyDescent="0.25">
      <c r="A57" s="30" t="s">
        <v>24</v>
      </c>
      <c r="B57" s="27" t="s">
        <v>25</v>
      </c>
      <c r="C57" s="29">
        <f>'Исходные данные'!C23</f>
        <v>0</v>
      </c>
      <c r="D57" s="28">
        <f t="shared" si="2"/>
        <v>0</v>
      </c>
      <c r="E57" s="28">
        <f t="shared" si="3"/>
        <v>0</v>
      </c>
      <c r="F57" s="27">
        <v>0.99299999999999999</v>
      </c>
      <c r="G57" s="26">
        <v>26.038</v>
      </c>
      <c r="H57" s="25">
        <v>1.0900000000000001</v>
      </c>
      <c r="I57" s="24">
        <v>308.33</v>
      </c>
      <c r="J57" s="23">
        <v>6.1390000000000002</v>
      </c>
      <c r="K57" s="22">
        <v>189.15</v>
      </c>
      <c r="L57" s="19"/>
      <c r="M57" s="18">
        <f t="shared" si="4"/>
        <v>0</v>
      </c>
      <c r="N57" s="19"/>
      <c r="O57" s="16">
        <f t="shared" si="5"/>
        <v>0</v>
      </c>
      <c r="P57" s="19"/>
      <c r="Q57" s="16">
        <f t="shared" si="6"/>
        <v>0</v>
      </c>
      <c r="R57" s="31"/>
      <c r="S57" s="16">
        <f t="shared" si="7"/>
        <v>0</v>
      </c>
      <c r="U57" s="14">
        <f t="shared" si="8"/>
        <v>0</v>
      </c>
      <c r="X57" s="14">
        <f t="shared" si="9"/>
        <v>0</v>
      </c>
    </row>
    <row r="58" spans="1:24" ht="15.6" x14ac:dyDescent="0.25">
      <c r="A58" s="30" t="s">
        <v>26</v>
      </c>
      <c r="B58" s="27" t="s">
        <v>27</v>
      </c>
      <c r="C58" s="29">
        <f>'Исходные данные'!C24</f>
        <v>0</v>
      </c>
      <c r="D58" s="28">
        <f t="shared" si="2"/>
        <v>0</v>
      </c>
      <c r="E58" s="28">
        <f t="shared" si="3"/>
        <v>0</v>
      </c>
      <c r="F58" s="27">
        <v>0.99399999999999999</v>
      </c>
      <c r="G58" s="26">
        <v>28.053999999999998</v>
      </c>
      <c r="H58" s="25">
        <v>1.1733</v>
      </c>
      <c r="I58" s="24">
        <v>282.35000000000002</v>
      </c>
      <c r="J58" s="23">
        <v>5.0419999999999998</v>
      </c>
      <c r="K58" s="22">
        <v>169.44</v>
      </c>
      <c r="L58" s="19"/>
      <c r="M58" s="18">
        <f t="shared" si="4"/>
        <v>0</v>
      </c>
      <c r="N58" s="19"/>
      <c r="O58" s="16">
        <f t="shared" si="5"/>
        <v>0</v>
      </c>
      <c r="P58" s="19"/>
      <c r="Q58" s="16">
        <f t="shared" si="6"/>
        <v>0</v>
      </c>
      <c r="R58" s="31"/>
      <c r="S58" s="16">
        <f t="shared" si="7"/>
        <v>0</v>
      </c>
      <c r="U58" s="14">
        <f t="shared" si="8"/>
        <v>0</v>
      </c>
      <c r="X58" s="14">
        <f t="shared" si="9"/>
        <v>0</v>
      </c>
    </row>
    <row r="59" spans="1:24" ht="31.2" x14ac:dyDescent="0.25">
      <c r="A59" s="30" t="s">
        <v>28</v>
      </c>
      <c r="B59" s="27" t="s">
        <v>29</v>
      </c>
      <c r="C59" s="29">
        <f>'Исходные данные'!C25</f>
        <v>0</v>
      </c>
      <c r="D59" s="28">
        <f t="shared" si="2"/>
        <v>0</v>
      </c>
      <c r="E59" s="28">
        <f t="shared" si="3"/>
        <v>0</v>
      </c>
      <c r="F59" s="27">
        <v>0.98499999999999999</v>
      </c>
      <c r="G59" s="26">
        <v>42.081000000000003</v>
      </c>
      <c r="H59" s="25">
        <v>1.776</v>
      </c>
      <c r="I59" s="24">
        <v>364.85</v>
      </c>
      <c r="J59" s="23">
        <v>4.601</v>
      </c>
      <c r="K59" s="22">
        <v>225.45</v>
      </c>
      <c r="L59" s="19"/>
      <c r="M59" s="18">
        <f t="shared" si="4"/>
        <v>0</v>
      </c>
      <c r="N59" s="19"/>
      <c r="O59" s="16">
        <f t="shared" si="5"/>
        <v>0</v>
      </c>
      <c r="P59" s="19"/>
      <c r="Q59" s="16">
        <f t="shared" si="6"/>
        <v>0</v>
      </c>
      <c r="R59" s="31"/>
      <c r="S59" s="16">
        <f t="shared" si="7"/>
        <v>0</v>
      </c>
      <c r="U59" s="14">
        <f t="shared" si="8"/>
        <v>0</v>
      </c>
      <c r="X59" s="14">
        <f t="shared" si="9"/>
        <v>0</v>
      </c>
    </row>
    <row r="60" spans="1:24" ht="15.6" x14ac:dyDescent="0.25">
      <c r="A60" s="30" t="s">
        <v>30</v>
      </c>
      <c r="B60" s="27" t="s">
        <v>31</v>
      </c>
      <c r="C60" s="29">
        <f>'Исходные данные'!C26</f>
        <v>0</v>
      </c>
      <c r="D60" s="28">
        <f t="shared" si="2"/>
        <v>0</v>
      </c>
      <c r="E60" s="28">
        <f t="shared" si="3"/>
        <v>0</v>
      </c>
      <c r="F60" s="27">
        <v>0.93600000000000005</v>
      </c>
      <c r="G60" s="26">
        <v>78.114000000000004</v>
      </c>
      <c r="H60" s="25">
        <v>3.4689999999999999</v>
      </c>
      <c r="I60" s="24">
        <v>562.16</v>
      </c>
      <c r="J60" s="23">
        <v>4.8979999999999997</v>
      </c>
      <c r="K60" s="22">
        <v>353.25</v>
      </c>
      <c r="L60" s="19"/>
      <c r="M60" s="18">
        <f t="shared" si="4"/>
        <v>0</v>
      </c>
      <c r="N60" s="19"/>
      <c r="O60" s="16">
        <f t="shared" si="5"/>
        <v>0</v>
      </c>
      <c r="P60" s="19"/>
      <c r="Q60" s="16">
        <f t="shared" si="6"/>
        <v>0</v>
      </c>
      <c r="R60" s="31"/>
      <c r="S60" s="16">
        <f t="shared" si="7"/>
        <v>0</v>
      </c>
      <c r="U60" s="14">
        <f t="shared" si="8"/>
        <v>0</v>
      </c>
      <c r="X60" s="14">
        <f t="shared" si="9"/>
        <v>0</v>
      </c>
    </row>
    <row r="61" spans="1:24" ht="15.6" x14ac:dyDescent="0.25">
      <c r="A61" s="30" t="s">
        <v>32</v>
      </c>
      <c r="B61" s="27" t="s">
        <v>33</v>
      </c>
      <c r="C61" s="29">
        <f>'Исходные данные'!C27</f>
        <v>0</v>
      </c>
      <c r="D61" s="28">
        <f t="shared" si="2"/>
        <v>0</v>
      </c>
      <c r="E61" s="28">
        <f t="shared" si="3"/>
        <v>0</v>
      </c>
      <c r="F61" s="27">
        <v>0.89200000000000002</v>
      </c>
      <c r="G61" s="26">
        <v>92.141000000000005</v>
      </c>
      <c r="H61" s="25">
        <v>4.2939999999999996</v>
      </c>
      <c r="I61" s="24">
        <v>591.79999999999995</v>
      </c>
      <c r="J61" s="23">
        <v>4.1059999999999999</v>
      </c>
      <c r="K61" s="22">
        <v>383.78</v>
      </c>
      <c r="L61" s="19"/>
      <c r="M61" s="18">
        <f t="shared" si="4"/>
        <v>0</v>
      </c>
      <c r="N61" s="19"/>
      <c r="O61" s="16">
        <f t="shared" si="5"/>
        <v>0</v>
      </c>
      <c r="P61" s="19"/>
      <c r="Q61" s="16">
        <f t="shared" si="6"/>
        <v>0</v>
      </c>
      <c r="R61" s="31"/>
      <c r="S61" s="16">
        <f t="shared" si="7"/>
        <v>0</v>
      </c>
      <c r="U61" s="14">
        <f t="shared" si="8"/>
        <v>0</v>
      </c>
      <c r="X61" s="14">
        <f t="shared" si="9"/>
        <v>0</v>
      </c>
    </row>
    <row r="62" spans="1:24" ht="15.6" x14ac:dyDescent="0.25">
      <c r="A62" s="30" t="s">
        <v>34</v>
      </c>
      <c r="B62" s="27" t="s">
        <v>35</v>
      </c>
      <c r="C62" s="29">
        <f>'Исходные данные'!C28</f>
        <v>0</v>
      </c>
      <c r="D62" s="28">
        <f t="shared" si="2"/>
        <v>0</v>
      </c>
      <c r="E62" s="28">
        <f t="shared" si="3"/>
        <v>0</v>
      </c>
      <c r="F62" s="27">
        <v>1.0005999999999999</v>
      </c>
      <c r="G62" s="26">
        <v>2.016</v>
      </c>
      <c r="H62" s="25">
        <v>8.3799999999999999E-2</v>
      </c>
      <c r="I62" s="24">
        <v>33.200000000000003</v>
      </c>
      <c r="J62" s="23">
        <v>1.2969999999999999</v>
      </c>
      <c r="K62" s="22">
        <v>20.350000000000001</v>
      </c>
      <c r="L62" s="19"/>
      <c r="M62" s="18">
        <f t="shared" si="4"/>
        <v>0</v>
      </c>
      <c r="N62" s="19"/>
      <c r="O62" s="16">
        <f t="shared" si="5"/>
        <v>0</v>
      </c>
      <c r="P62" s="19"/>
      <c r="Q62" s="16">
        <f t="shared" si="6"/>
        <v>0</v>
      </c>
      <c r="R62" s="31"/>
      <c r="S62" s="16">
        <f t="shared" si="7"/>
        <v>0</v>
      </c>
      <c r="U62" s="14">
        <f t="shared" si="8"/>
        <v>0</v>
      </c>
      <c r="X62" s="14">
        <f t="shared" si="9"/>
        <v>0</v>
      </c>
    </row>
    <row r="63" spans="1:24" ht="31.2" x14ac:dyDescent="0.25">
      <c r="A63" s="30" t="s">
        <v>36</v>
      </c>
      <c r="B63" s="27" t="s">
        <v>37</v>
      </c>
      <c r="C63" s="29">
        <f>'Исходные данные'!C29</f>
        <v>0</v>
      </c>
      <c r="D63" s="28">
        <f t="shared" si="2"/>
        <v>0</v>
      </c>
      <c r="E63" s="28">
        <f t="shared" si="3"/>
        <v>0</v>
      </c>
      <c r="F63" s="27">
        <v>0.95199999999999996</v>
      </c>
      <c r="G63" s="26">
        <v>18.015000000000001</v>
      </c>
      <c r="H63" s="25">
        <v>0.78700000000000003</v>
      </c>
      <c r="I63" s="24">
        <v>647.14</v>
      </c>
      <c r="J63" s="23">
        <v>22.064</v>
      </c>
      <c r="K63" s="22">
        <v>373.15</v>
      </c>
      <c r="L63" s="19"/>
      <c r="M63" s="18">
        <f t="shared" si="4"/>
        <v>0</v>
      </c>
      <c r="N63" s="19"/>
      <c r="O63" s="16">
        <f t="shared" si="5"/>
        <v>0</v>
      </c>
      <c r="P63" s="19"/>
      <c r="Q63" s="16">
        <f t="shared" si="6"/>
        <v>0</v>
      </c>
      <c r="R63" s="31"/>
      <c r="S63" s="16">
        <f t="shared" si="7"/>
        <v>0</v>
      </c>
      <c r="U63" s="14">
        <f t="shared" si="8"/>
        <v>0</v>
      </c>
      <c r="X63" s="14">
        <f t="shared" si="9"/>
        <v>0</v>
      </c>
    </row>
    <row r="64" spans="1:24" ht="15.6" x14ac:dyDescent="0.25">
      <c r="A64" s="30" t="s">
        <v>38</v>
      </c>
      <c r="B64" s="27" t="s">
        <v>39</v>
      </c>
      <c r="C64" s="29">
        <f>'Исходные данные'!C30</f>
        <v>0</v>
      </c>
      <c r="D64" s="28">
        <f t="shared" si="2"/>
        <v>0</v>
      </c>
      <c r="E64" s="28">
        <f t="shared" si="3"/>
        <v>0</v>
      </c>
      <c r="F64" s="27">
        <v>0.98899999999999999</v>
      </c>
      <c r="G64" s="26">
        <v>17.030999999999999</v>
      </c>
      <c r="H64" s="25">
        <v>0.71599999999999997</v>
      </c>
      <c r="I64" s="24">
        <v>405.5</v>
      </c>
      <c r="J64" s="23">
        <v>11.35</v>
      </c>
      <c r="K64" s="22">
        <v>239.75</v>
      </c>
      <c r="L64" s="19"/>
      <c r="M64" s="18">
        <f t="shared" si="4"/>
        <v>0</v>
      </c>
      <c r="N64" s="19"/>
      <c r="O64" s="16">
        <f t="shared" si="5"/>
        <v>0</v>
      </c>
      <c r="P64" s="19"/>
      <c r="Q64" s="16">
        <f t="shared" si="6"/>
        <v>0</v>
      </c>
      <c r="R64" s="31"/>
      <c r="S64" s="16">
        <f t="shared" si="7"/>
        <v>0</v>
      </c>
      <c r="U64" s="14">
        <f t="shared" si="8"/>
        <v>0</v>
      </c>
      <c r="X64" s="14">
        <f t="shared" si="9"/>
        <v>0</v>
      </c>
    </row>
    <row r="65" spans="1:24" ht="15.6" x14ac:dyDescent="0.25">
      <c r="A65" s="30" t="s">
        <v>40</v>
      </c>
      <c r="B65" s="27" t="s">
        <v>41</v>
      </c>
      <c r="C65" s="29">
        <f>'Исходные данные'!C31</f>
        <v>0</v>
      </c>
      <c r="D65" s="28">
        <f t="shared" si="2"/>
        <v>0</v>
      </c>
      <c r="E65" s="28">
        <f t="shared" si="3"/>
        <v>0</v>
      </c>
      <c r="F65" s="27">
        <v>0.89200000000000002</v>
      </c>
      <c r="G65" s="26">
        <v>34.042000000000002</v>
      </c>
      <c r="H65" s="25">
        <v>1.587</v>
      </c>
      <c r="I65" s="24">
        <v>512.64</v>
      </c>
      <c r="J65" s="23">
        <v>8.0920000000000005</v>
      </c>
      <c r="K65" s="22">
        <v>337.85</v>
      </c>
      <c r="L65" s="19"/>
      <c r="M65" s="18">
        <f t="shared" si="4"/>
        <v>0</v>
      </c>
      <c r="N65" s="19"/>
      <c r="O65" s="16">
        <f t="shared" si="5"/>
        <v>0</v>
      </c>
      <c r="P65" s="19"/>
      <c r="Q65" s="16">
        <f t="shared" si="6"/>
        <v>0</v>
      </c>
      <c r="R65" s="31"/>
      <c r="S65" s="16">
        <f t="shared" si="7"/>
        <v>0</v>
      </c>
      <c r="U65" s="14">
        <f t="shared" si="8"/>
        <v>0</v>
      </c>
      <c r="X65" s="14">
        <f t="shared" si="9"/>
        <v>0</v>
      </c>
    </row>
    <row r="66" spans="1:24" ht="31.2" x14ac:dyDescent="0.25">
      <c r="A66" s="30" t="s">
        <v>42</v>
      </c>
      <c r="B66" s="27" t="s">
        <v>43</v>
      </c>
      <c r="C66" s="29">
        <f>'Исходные данные'!C32</f>
        <v>0</v>
      </c>
      <c r="D66" s="28">
        <f t="shared" si="2"/>
        <v>0</v>
      </c>
      <c r="E66" s="28">
        <f t="shared" si="3"/>
        <v>0</v>
      </c>
      <c r="F66" s="27">
        <v>0.99</v>
      </c>
      <c r="G66" s="26">
        <v>34.082000000000001</v>
      </c>
      <c r="H66" s="25">
        <v>1.4311</v>
      </c>
      <c r="I66" s="24">
        <v>373.2</v>
      </c>
      <c r="J66" s="23">
        <v>8.94</v>
      </c>
      <c r="K66" s="22">
        <v>212.85</v>
      </c>
      <c r="L66" s="19"/>
      <c r="M66" s="18">
        <f t="shared" si="4"/>
        <v>0</v>
      </c>
      <c r="N66" s="19"/>
      <c r="O66" s="16">
        <f t="shared" si="5"/>
        <v>0</v>
      </c>
      <c r="P66" s="19"/>
      <c r="Q66" s="16">
        <f t="shared" si="6"/>
        <v>0</v>
      </c>
      <c r="R66" s="31"/>
      <c r="S66" s="16">
        <f t="shared" si="7"/>
        <v>0</v>
      </c>
      <c r="U66" s="14">
        <f t="shared" si="8"/>
        <v>0</v>
      </c>
      <c r="X66" s="14">
        <f t="shared" si="9"/>
        <v>0</v>
      </c>
    </row>
    <row r="67" spans="1:24" ht="46.8" x14ac:dyDescent="0.25">
      <c r="A67" s="30" t="s">
        <v>44</v>
      </c>
      <c r="B67" s="27" t="s">
        <v>45</v>
      </c>
      <c r="C67" s="29">
        <f>'Исходные данные'!C33</f>
        <v>0</v>
      </c>
      <c r="D67" s="28">
        <f t="shared" si="2"/>
        <v>0</v>
      </c>
      <c r="E67" s="28">
        <f t="shared" si="3"/>
        <v>0</v>
      </c>
      <c r="F67" s="27">
        <v>0.97799999999999998</v>
      </c>
      <c r="G67" s="26">
        <v>48.109000000000002</v>
      </c>
      <c r="H67" s="25">
        <v>2.0449999999999999</v>
      </c>
      <c r="I67" s="24">
        <v>470</v>
      </c>
      <c r="J67" s="23">
        <v>7.23</v>
      </c>
      <c r="K67" s="22">
        <v>279.10000000000002</v>
      </c>
      <c r="L67" s="19"/>
      <c r="M67" s="18">
        <f t="shared" si="4"/>
        <v>0</v>
      </c>
      <c r="N67" s="19"/>
      <c r="O67" s="16">
        <f t="shared" si="5"/>
        <v>0</v>
      </c>
      <c r="P67" s="19"/>
      <c r="Q67" s="16">
        <f t="shared" si="6"/>
        <v>0</v>
      </c>
      <c r="R67" s="31"/>
      <c r="S67" s="16">
        <f t="shared" si="7"/>
        <v>0</v>
      </c>
      <c r="U67" s="14">
        <f t="shared" si="8"/>
        <v>0</v>
      </c>
      <c r="X67" s="14">
        <f t="shared" si="9"/>
        <v>0</v>
      </c>
    </row>
    <row r="68" spans="1:24" ht="31.2" x14ac:dyDescent="0.25">
      <c r="A68" s="30" t="s">
        <v>46</v>
      </c>
      <c r="B68" s="27" t="s">
        <v>47</v>
      </c>
      <c r="C68" s="29">
        <f>'Исходные данные'!C34</f>
        <v>0</v>
      </c>
      <c r="D68" s="28">
        <f t="shared" si="2"/>
        <v>0</v>
      </c>
      <c r="E68" s="28">
        <f t="shared" si="3"/>
        <v>0</v>
      </c>
      <c r="F68" s="27">
        <v>0.98</v>
      </c>
      <c r="G68" s="26">
        <v>64.064999999999998</v>
      </c>
      <c r="H68" s="25">
        <v>2.718</v>
      </c>
      <c r="I68" s="24">
        <v>430.8</v>
      </c>
      <c r="J68" s="23">
        <v>7.8840000000000003</v>
      </c>
      <c r="K68" s="22">
        <v>263.14999999999998</v>
      </c>
      <c r="L68" s="19"/>
      <c r="M68" s="18">
        <f t="shared" si="4"/>
        <v>0</v>
      </c>
      <c r="N68" s="19"/>
      <c r="O68" s="16">
        <f t="shared" si="5"/>
        <v>0</v>
      </c>
      <c r="P68" s="19"/>
      <c r="Q68" s="16">
        <f t="shared" si="6"/>
        <v>0</v>
      </c>
      <c r="R68" s="31"/>
      <c r="S68" s="16">
        <f t="shared" si="7"/>
        <v>0</v>
      </c>
      <c r="U68" s="14">
        <f t="shared" si="8"/>
        <v>0</v>
      </c>
      <c r="X68" s="14">
        <f t="shared" si="9"/>
        <v>0</v>
      </c>
    </row>
    <row r="69" spans="1:24" ht="15.6" x14ac:dyDescent="0.25">
      <c r="A69" s="30" t="s">
        <v>48</v>
      </c>
      <c r="B69" s="27" t="s">
        <v>49</v>
      </c>
      <c r="C69" s="29">
        <f>'Исходные данные'!C35</f>
        <v>0</v>
      </c>
      <c r="D69" s="28">
        <f t="shared" si="2"/>
        <v>0</v>
      </c>
      <c r="E69" s="28">
        <f t="shared" si="3"/>
        <v>0</v>
      </c>
      <c r="F69" s="27">
        <v>1.0004999999999999</v>
      </c>
      <c r="G69" s="26">
        <v>4.0030000000000001</v>
      </c>
      <c r="H69" s="25">
        <v>0.1663</v>
      </c>
      <c r="I69" s="24">
        <v>5.19</v>
      </c>
      <c r="J69" s="23">
        <v>0.22700000000000001</v>
      </c>
      <c r="K69" s="22">
        <v>4.21</v>
      </c>
      <c r="L69" s="19"/>
      <c r="M69" s="18">
        <f t="shared" si="4"/>
        <v>0</v>
      </c>
      <c r="N69" s="19"/>
      <c r="O69" s="16">
        <f t="shared" si="5"/>
        <v>0</v>
      </c>
      <c r="P69" s="19"/>
      <c r="Q69" s="16">
        <f t="shared" si="6"/>
        <v>0</v>
      </c>
      <c r="R69" s="31"/>
      <c r="S69" s="16">
        <f t="shared" si="7"/>
        <v>0</v>
      </c>
      <c r="U69" s="14">
        <f t="shared" si="8"/>
        <v>0</v>
      </c>
      <c r="X69" s="14">
        <f t="shared" si="9"/>
        <v>0</v>
      </c>
    </row>
    <row r="70" spans="1:24" ht="15.6" x14ac:dyDescent="0.25">
      <c r="A70" s="30" t="s">
        <v>50</v>
      </c>
      <c r="B70" s="27" t="s">
        <v>51</v>
      </c>
      <c r="C70" s="29">
        <f>'Исходные данные'!C36</f>
        <v>0</v>
      </c>
      <c r="D70" s="28">
        <f t="shared" si="2"/>
        <v>0</v>
      </c>
      <c r="E70" s="28">
        <f t="shared" si="3"/>
        <v>0</v>
      </c>
      <c r="F70" s="27">
        <v>1.0004999999999999</v>
      </c>
      <c r="G70" s="26">
        <v>20.18</v>
      </c>
      <c r="H70" s="25">
        <v>0.83850000000000002</v>
      </c>
      <c r="I70" s="24">
        <v>44.4</v>
      </c>
      <c r="J70" s="23">
        <v>2.76</v>
      </c>
      <c r="K70" s="22">
        <v>27.09</v>
      </c>
      <c r="L70" s="19"/>
      <c r="M70" s="18">
        <f t="shared" si="4"/>
        <v>0</v>
      </c>
      <c r="N70" s="19"/>
      <c r="O70" s="16">
        <f t="shared" si="5"/>
        <v>0</v>
      </c>
      <c r="P70" s="19"/>
      <c r="Q70" s="16">
        <f t="shared" si="6"/>
        <v>0</v>
      </c>
      <c r="R70" s="31"/>
      <c r="S70" s="16">
        <f t="shared" si="7"/>
        <v>0</v>
      </c>
      <c r="U70" s="14">
        <f t="shared" si="8"/>
        <v>0</v>
      </c>
      <c r="X70" s="14">
        <f t="shared" si="9"/>
        <v>0</v>
      </c>
    </row>
    <row r="71" spans="1:24" ht="15.6" x14ac:dyDescent="0.25">
      <c r="A71" s="30" t="s">
        <v>52</v>
      </c>
      <c r="B71" s="27" t="s">
        <v>53</v>
      </c>
      <c r="C71" s="29">
        <f>'Исходные данные'!C37</f>
        <v>0</v>
      </c>
      <c r="D71" s="28">
        <f t="shared" si="2"/>
        <v>0</v>
      </c>
      <c r="E71" s="28">
        <f t="shared" si="3"/>
        <v>0</v>
      </c>
      <c r="F71" s="27">
        <v>0.99929999999999997</v>
      </c>
      <c r="G71" s="26">
        <v>39.948</v>
      </c>
      <c r="H71" s="25">
        <v>1.6617999999999999</v>
      </c>
      <c r="I71" s="24">
        <v>150.65</v>
      </c>
      <c r="J71" s="23">
        <v>4.8659999999999997</v>
      </c>
      <c r="K71" s="22">
        <v>87.29</v>
      </c>
      <c r="L71" s="19"/>
      <c r="M71" s="18">
        <f t="shared" si="4"/>
        <v>0</v>
      </c>
      <c r="N71" s="19"/>
      <c r="O71" s="16">
        <f t="shared" si="5"/>
        <v>0</v>
      </c>
      <c r="P71" s="19"/>
      <c r="Q71" s="16">
        <f t="shared" si="6"/>
        <v>0</v>
      </c>
      <c r="R71" s="31"/>
      <c r="S71" s="16">
        <f t="shared" si="7"/>
        <v>0</v>
      </c>
      <c r="U71" s="14">
        <f t="shared" si="8"/>
        <v>0</v>
      </c>
      <c r="X71" s="14">
        <f t="shared" si="9"/>
        <v>0</v>
      </c>
    </row>
    <row r="72" spans="1:24" ht="46.8" x14ac:dyDescent="0.25">
      <c r="A72" s="30" t="s">
        <v>54</v>
      </c>
      <c r="B72" s="27" t="s">
        <v>55</v>
      </c>
      <c r="C72" s="29">
        <f>'Исходные данные'!C38</f>
        <v>0</v>
      </c>
      <c r="D72" s="28">
        <f t="shared" si="2"/>
        <v>0</v>
      </c>
      <c r="E72" s="28">
        <f t="shared" si="3"/>
        <v>0</v>
      </c>
      <c r="F72" s="27">
        <v>0.99960000000000004</v>
      </c>
      <c r="G72" s="26">
        <v>28.01</v>
      </c>
      <c r="H72" s="25">
        <v>1.1649</v>
      </c>
      <c r="I72" s="24">
        <v>132.85</v>
      </c>
      <c r="J72" s="23">
        <v>3.4940000000000002</v>
      </c>
      <c r="K72" s="22">
        <v>81.650000000000006</v>
      </c>
      <c r="L72" s="19"/>
      <c r="M72" s="18">
        <f t="shared" si="4"/>
        <v>0</v>
      </c>
      <c r="N72" s="19"/>
      <c r="O72" s="16">
        <f t="shared" si="5"/>
        <v>0</v>
      </c>
      <c r="P72" s="19"/>
      <c r="Q72" s="16">
        <f t="shared" si="6"/>
        <v>0</v>
      </c>
      <c r="R72" s="31"/>
      <c r="S72" s="16">
        <f t="shared" si="7"/>
        <v>0</v>
      </c>
      <c r="U72" s="14">
        <f t="shared" si="8"/>
        <v>0</v>
      </c>
      <c r="X72" s="14">
        <f t="shared" si="9"/>
        <v>0</v>
      </c>
    </row>
    <row r="73" spans="1:24" ht="15.6" x14ac:dyDescent="0.25">
      <c r="A73" s="30" t="s">
        <v>56</v>
      </c>
      <c r="B73" s="27" t="s">
        <v>57</v>
      </c>
      <c r="C73" s="29">
        <f>'Исходные данные'!C39</f>
        <v>0.193909</v>
      </c>
      <c r="D73" s="28">
        <f>C73/100</f>
        <v>1.9390900000000001E-3</v>
      </c>
      <c r="E73" s="28">
        <f t="shared" si="3"/>
        <v>1.9341700371089357E-3</v>
      </c>
      <c r="F73" s="27">
        <v>0.99970000000000003</v>
      </c>
      <c r="G73" s="26">
        <v>28.013999999999999</v>
      </c>
      <c r="H73" s="25">
        <v>1.1649</v>
      </c>
      <c r="I73" s="24">
        <v>126.2</v>
      </c>
      <c r="J73" s="23">
        <v>3.39</v>
      </c>
      <c r="K73" s="22">
        <v>77.349999999999994</v>
      </c>
      <c r="L73" s="19"/>
      <c r="M73" s="18">
        <f t="shared" si="4"/>
        <v>0.24471315800000001</v>
      </c>
      <c r="N73" s="19"/>
      <c r="O73" s="16">
        <f t="shared" si="5"/>
        <v>6.5735151000000007E-3</v>
      </c>
      <c r="P73" s="19"/>
      <c r="Q73" s="16">
        <f t="shared" si="6"/>
        <v>5.4321667259999998E-2</v>
      </c>
      <c r="R73" s="31"/>
      <c r="S73" s="16">
        <f t="shared" si="7"/>
        <v>1.9396719015704711E-3</v>
      </c>
      <c r="U73" s="14">
        <f t="shared" si="8"/>
        <v>2.2588459410000004E-3</v>
      </c>
      <c r="X73" s="14">
        <f t="shared" si="9"/>
        <v>1.93475046224761E-3</v>
      </c>
    </row>
    <row r="74" spans="1:24" ht="15.6" x14ac:dyDescent="0.25">
      <c r="A74" s="30" t="s">
        <v>58</v>
      </c>
      <c r="B74" s="27"/>
      <c r="C74" s="29">
        <f>'Исходные данные'!C40</f>
        <v>0</v>
      </c>
      <c r="D74" s="28">
        <f t="shared" si="2"/>
        <v>0</v>
      </c>
      <c r="E74" s="28">
        <f t="shared" si="3"/>
        <v>0</v>
      </c>
      <c r="F74" s="27">
        <v>0.99963000000000002</v>
      </c>
      <c r="G74" s="26">
        <v>28.963000000000001</v>
      </c>
      <c r="H74" s="25">
        <v>1.2044999999999999</v>
      </c>
      <c r="I74" s="24">
        <v>132.5</v>
      </c>
      <c r="J74" s="23">
        <v>3.766</v>
      </c>
      <c r="K74" s="22">
        <v>78.849999999999994</v>
      </c>
      <c r="L74" s="19"/>
      <c r="M74" s="18">
        <f t="shared" si="4"/>
        <v>0</v>
      </c>
      <c r="N74" s="19"/>
      <c r="O74" s="16">
        <f t="shared" si="5"/>
        <v>0</v>
      </c>
      <c r="P74" s="19"/>
      <c r="Q74" s="16">
        <f t="shared" si="6"/>
        <v>0</v>
      </c>
      <c r="S74" s="16">
        <f t="shared" si="7"/>
        <v>0</v>
      </c>
      <c r="U74" s="14">
        <f t="shared" si="8"/>
        <v>0</v>
      </c>
      <c r="X74" s="14">
        <f t="shared" si="9"/>
        <v>0</v>
      </c>
    </row>
    <row r="75" spans="1:24" ht="31.2" x14ac:dyDescent="0.25">
      <c r="A75" s="30" t="s">
        <v>59</v>
      </c>
      <c r="B75" s="27" t="s">
        <v>60</v>
      </c>
      <c r="C75" s="29">
        <f>'Исходные данные'!C41</f>
        <v>0</v>
      </c>
      <c r="D75" s="28">
        <f t="shared" si="2"/>
        <v>0</v>
      </c>
      <c r="E75" s="28">
        <f t="shared" si="3"/>
        <v>0</v>
      </c>
      <c r="F75" s="27">
        <v>0.99929999999999997</v>
      </c>
      <c r="G75" s="26">
        <v>31.998999999999999</v>
      </c>
      <c r="H75" s="25">
        <v>1.3311999999999999</v>
      </c>
      <c r="I75" s="24">
        <v>154.58000000000001</v>
      </c>
      <c r="J75" s="23">
        <v>5.0430000000000001</v>
      </c>
      <c r="K75" s="22">
        <v>90.19</v>
      </c>
      <c r="L75" s="19"/>
      <c r="M75" s="18">
        <f t="shared" si="4"/>
        <v>0</v>
      </c>
      <c r="N75" s="19"/>
      <c r="O75" s="16">
        <f t="shared" si="5"/>
        <v>0</v>
      </c>
      <c r="P75" s="19"/>
      <c r="Q75" s="16">
        <f t="shared" si="6"/>
        <v>0</v>
      </c>
      <c r="S75" s="16">
        <f t="shared" si="7"/>
        <v>0</v>
      </c>
      <c r="U75" s="14">
        <f t="shared" si="8"/>
        <v>0</v>
      </c>
      <c r="X75" s="14">
        <f t="shared" si="9"/>
        <v>0</v>
      </c>
    </row>
    <row r="76" spans="1:24" ht="31.2" x14ac:dyDescent="0.25">
      <c r="A76" s="30" t="s">
        <v>61</v>
      </c>
      <c r="B76" s="27" t="s">
        <v>62</v>
      </c>
      <c r="C76" s="29">
        <f>'Исходные данные'!C42</f>
        <v>0.84052000000000004</v>
      </c>
      <c r="D76" s="28">
        <f t="shared" si="2"/>
        <v>8.4051999999999998E-3</v>
      </c>
      <c r="E76" s="28">
        <f t="shared" si="3"/>
        <v>8.4260166027054946E-3</v>
      </c>
      <c r="F76" s="27">
        <v>0.99470000000000003</v>
      </c>
      <c r="G76" s="26">
        <v>44.01</v>
      </c>
      <c r="H76" s="25">
        <v>1.8392999999999999</v>
      </c>
      <c r="I76" s="24">
        <v>304.2</v>
      </c>
      <c r="J76" s="23">
        <v>7.3860000000000001</v>
      </c>
      <c r="K76" s="22">
        <v>194.65</v>
      </c>
      <c r="L76" s="19"/>
      <c r="M76" s="18">
        <f t="shared" si="4"/>
        <v>2.5568618399999998</v>
      </c>
      <c r="N76" s="19"/>
      <c r="O76" s="16">
        <f t="shared" si="5"/>
        <v>6.2080807199999997E-2</v>
      </c>
      <c r="P76" s="19"/>
      <c r="Q76" s="16">
        <f t="shared" si="6"/>
        <v>0.36991285199999996</v>
      </c>
      <c r="S76" s="16">
        <f t="shared" si="7"/>
        <v>8.4499849200764046E-3</v>
      </c>
      <c r="U76" s="14">
        <f t="shared" si="8"/>
        <v>1.545968436E-2</v>
      </c>
      <c r="X76" s="14">
        <f t="shared" si="9"/>
        <v>8.4709124386302351E-3</v>
      </c>
    </row>
    <row r="77" spans="1:24" ht="15.6" x14ac:dyDescent="0.25">
      <c r="A77" s="19"/>
      <c r="B77" s="19"/>
      <c r="C77" s="19"/>
      <c r="D77" s="21">
        <f>SUM(D47:D76)</f>
        <v>1.00000567</v>
      </c>
      <c r="E77" s="20">
        <f>SUM(E47:E76)</f>
        <v>1</v>
      </c>
      <c r="G77" s="19"/>
      <c r="H77" s="19"/>
      <c r="I77" s="19"/>
      <c r="J77" s="19"/>
      <c r="K77" s="19"/>
      <c r="L77" s="17" t="s">
        <v>84</v>
      </c>
      <c r="M77" s="18">
        <f>SUM(M47:M76)</f>
        <v>202.09822224320004</v>
      </c>
      <c r="N77" s="17" t="s">
        <v>83</v>
      </c>
      <c r="O77" s="16">
        <f>SUM(O47:O76)</f>
        <v>4.6156976291800005</v>
      </c>
      <c r="P77" s="17" t="s">
        <v>82</v>
      </c>
      <c r="Q77" s="16">
        <f>SUM(Q47:Q76)</f>
        <v>17.887545126660005</v>
      </c>
      <c r="S77" s="15">
        <f>SUM(S47:S76)</f>
        <v>1.0028445609000123</v>
      </c>
      <c r="U77" s="14">
        <f>SUM(U47:U76)</f>
        <v>0.74690115026100012</v>
      </c>
      <c r="X77" s="14">
        <f>SUM(X47:X76)</f>
        <v>1.0028595674323399</v>
      </c>
    </row>
  </sheetData>
  <mergeCells count="8">
    <mergeCell ref="A3:F3"/>
    <mergeCell ref="G3:I3"/>
    <mergeCell ref="J3:O3"/>
    <mergeCell ref="B1:F1"/>
    <mergeCell ref="K1:O1"/>
    <mergeCell ref="A2:B2"/>
    <mergeCell ref="G2:I2"/>
    <mergeCell ref="J2:K2"/>
  </mergeCells>
  <printOptions horizontalCentered="1"/>
  <pageMargins left="0.39374999999999999" right="0.196527777777778" top="0.39374999999999999" bottom="0.196527777777778" header="0.51180555555555496" footer="0.51180555555555496"/>
  <pageSetup paperSize="9" firstPageNumber="0" orientation="portrait" r:id="rId1"/>
  <rowBreaks count="1" manualBreakCount="1">
    <brk id="37" max="16383" man="1"/>
  </rowBreaks>
  <colBreaks count="2" manualBreakCount="2">
    <brk id="6" max="1048575" man="1"/>
    <brk id="18" max="1048575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7">
    <pageSetUpPr fitToPage="1"/>
  </sheetPr>
  <dimension ref="A1:AMK96"/>
  <sheetViews>
    <sheetView zoomScale="80" zoomScaleNormal="80" workbookViewId="0">
      <selection activeCell="G8" sqref="G8"/>
    </sheetView>
  </sheetViews>
  <sheetFormatPr defaultColWidth="9.109375" defaultRowHeight="17.399999999999999" x14ac:dyDescent="0.3"/>
  <cols>
    <col min="1" max="1" width="9.109375" style="157"/>
    <col min="2" max="2" width="10" style="157" customWidth="1"/>
    <col min="3" max="3" width="78.5546875" style="157" customWidth="1"/>
    <col min="4" max="4" width="26.44140625" style="157" customWidth="1"/>
    <col min="5" max="5" width="25.6640625" style="157" customWidth="1"/>
    <col min="6" max="6" width="27.33203125" style="157" customWidth="1"/>
    <col min="7" max="7" width="30.5546875" style="157" customWidth="1"/>
    <col min="8" max="1025" width="9.109375" style="157"/>
    <col min="1026" max="16384" width="9.109375" style="13"/>
  </cols>
  <sheetData>
    <row r="1" spans="2:15" ht="15.45" customHeight="1" x14ac:dyDescent="0.3">
      <c r="B1" s="235" t="s">
        <v>310</v>
      </c>
      <c r="C1" s="235"/>
      <c r="D1" s="235"/>
      <c r="E1" s="235"/>
      <c r="F1" s="235"/>
      <c r="G1" s="235"/>
      <c r="H1" s="13"/>
      <c r="I1" s="13"/>
      <c r="J1" s="13"/>
      <c r="K1" s="13"/>
      <c r="L1" s="13"/>
      <c r="M1" s="13"/>
      <c r="N1" s="13"/>
      <c r="O1" s="13"/>
    </row>
    <row r="2" spans="2:15" ht="17.399999999999999" customHeight="1" x14ac:dyDescent="0.3">
      <c r="B2" s="235"/>
      <c r="C2" s="235"/>
      <c r="D2" s="235"/>
      <c r="E2" s="235"/>
      <c r="F2" s="235"/>
      <c r="G2" s="235"/>
      <c r="H2" s="13"/>
      <c r="I2" s="13"/>
      <c r="J2" s="13"/>
      <c r="K2" s="13"/>
      <c r="L2" s="13"/>
      <c r="M2" s="13"/>
      <c r="N2" s="13"/>
      <c r="O2" s="13"/>
    </row>
    <row r="3" spans="2:15" ht="34.950000000000003" customHeight="1" x14ac:dyDescent="0.3">
      <c r="B3" s="185" t="s">
        <v>249</v>
      </c>
      <c r="C3" s="182" t="s">
        <v>159</v>
      </c>
      <c r="D3" s="184" t="s">
        <v>158</v>
      </c>
      <c r="E3" s="183" t="s">
        <v>157</v>
      </c>
      <c r="F3" s="182" t="s">
        <v>2</v>
      </c>
      <c r="G3" s="182" t="s">
        <v>156</v>
      </c>
      <c r="H3" s="13"/>
      <c r="I3" s="13"/>
      <c r="J3" s="13"/>
      <c r="K3" s="13"/>
      <c r="L3" s="13"/>
      <c r="M3" s="13"/>
      <c r="N3" s="13"/>
      <c r="O3" s="13"/>
    </row>
    <row r="4" spans="2:15" ht="24.75" customHeight="1" x14ac:dyDescent="0.35">
      <c r="B4" s="131">
        <f>1</f>
        <v>1</v>
      </c>
      <c r="C4" s="180" t="s">
        <v>244</v>
      </c>
      <c r="D4" s="131" t="s">
        <v>309</v>
      </c>
      <c r="E4" s="131" t="s">
        <v>308</v>
      </c>
      <c r="F4" s="131" t="s">
        <v>146</v>
      </c>
      <c r="G4" s="193">
        <f>'Тепл баланс'!F8</f>
        <v>190000</v>
      </c>
      <c r="H4" s="181"/>
      <c r="I4" s="181"/>
      <c r="J4" s="181"/>
      <c r="K4" s="181"/>
      <c r="L4" s="13"/>
      <c r="M4" s="13"/>
      <c r="N4" s="13"/>
      <c r="O4" s="13"/>
    </row>
    <row r="5" spans="2:15" ht="23.25" customHeight="1" x14ac:dyDescent="0.35">
      <c r="B5" s="131">
        <f t="shared" ref="B5:B34" si="0">B4+1</f>
        <v>2</v>
      </c>
      <c r="C5" s="180" t="s">
        <v>307</v>
      </c>
      <c r="D5" s="131" t="s">
        <v>306</v>
      </c>
      <c r="E5" s="177" t="s">
        <v>288</v>
      </c>
      <c r="F5" s="131" t="s">
        <v>146</v>
      </c>
      <c r="G5" s="124">
        <f>'Тепл баланс'!F9</f>
        <v>0</v>
      </c>
      <c r="H5" s="181"/>
      <c r="I5" s="181"/>
      <c r="J5" s="181"/>
      <c r="K5" s="181"/>
      <c r="L5" s="13"/>
      <c r="M5" s="13"/>
      <c r="N5" s="13"/>
      <c r="O5" s="13"/>
    </row>
    <row r="6" spans="2:15" ht="21" customHeight="1" x14ac:dyDescent="0.35">
      <c r="B6" s="131">
        <f t="shared" si="0"/>
        <v>3</v>
      </c>
      <c r="C6" s="180" t="s">
        <v>305</v>
      </c>
      <c r="D6" s="131" t="s">
        <v>304</v>
      </c>
      <c r="E6" s="177" t="s">
        <v>288</v>
      </c>
      <c r="F6" s="131" t="s">
        <v>146</v>
      </c>
      <c r="G6" s="124">
        <f>'Тепл баланс'!F10</f>
        <v>38.472596521408541</v>
      </c>
      <c r="H6" s="130"/>
      <c r="I6" s="130"/>
      <c r="J6" s="130"/>
      <c r="K6" s="130"/>
      <c r="L6" s="13"/>
      <c r="M6" s="13"/>
      <c r="N6" s="13"/>
      <c r="O6" s="13"/>
    </row>
    <row r="7" spans="2:15" ht="22.5" customHeight="1" x14ac:dyDescent="0.35">
      <c r="B7" s="131">
        <f t="shared" si="0"/>
        <v>4</v>
      </c>
      <c r="C7" s="180" t="s">
        <v>303</v>
      </c>
      <c r="D7" s="131" t="s">
        <v>302</v>
      </c>
      <c r="E7" s="131" t="s">
        <v>301</v>
      </c>
      <c r="F7" s="131"/>
      <c r="G7" s="179">
        <f>Свхвыхкот!F23</f>
        <v>0.51200000000000001</v>
      </c>
      <c r="H7" s="130"/>
      <c r="I7" s="130"/>
      <c r="J7" s="130"/>
      <c r="K7" s="130"/>
      <c r="L7" s="13"/>
      <c r="M7" s="13"/>
      <c r="N7" s="13"/>
      <c r="O7" s="13"/>
    </row>
    <row r="8" spans="2:15" ht="21" customHeight="1" x14ac:dyDescent="0.35">
      <c r="B8" s="131">
        <f t="shared" si="0"/>
        <v>5</v>
      </c>
      <c r="C8" s="180" t="s">
        <v>300</v>
      </c>
      <c r="D8" s="131" t="s">
        <v>299</v>
      </c>
      <c r="E8" s="131" t="s">
        <v>123</v>
      </c>
      <c r="F8" s="131"/>
      <c r="G8" s="179">
        <f>Свхвыхкот!O23</f>
        <v>0.36498803735338126</v>
      </c>
      <c r="H8" s="130"/>
      <c r="I8" s="130"/>
      <c r="J8" s="130"/>
      <c r="K8" s="130"/>
      <c r="L8" s="13"/>
      <c r="M8" s="13"/>
      <c r="N8" s="13"/>
      <c r="O8" s="13"/>
    </row>
    <row r="9" spans="2:15" ht="22.5" customHeight="1" x14ac:dyDescent="0.3">
      <c r="B9" s="131">
        <f t="shared" si="0"/>
        <v>6</v>
      </c>
      <c r="C9" s="175" t="s">
        <v>298</v>
      </c>
      <c r="D9" s="55" t="s">
        <v>297</v>
      </c>
      <c r="E9" s="178" t="s">
        <v>296</v>
      </c>
      <c r="F9" s="55" t="s">
        <v>295</v>
      </c>
      <c r="G9" s="174">
        <f>G4*(G6-G5)*Свх!O23</f>
        <v>3726784.5578098344</v>
      </c>
      <c r="H9" s="130"/>
      <c r="I9" s="130"/>
      <c r="J9" s="130"/>
      <c r="K9" s="130"/>
      <c r="L9" s="13"/>
      <c r="M9" s="13"/>
      <c r="N9" s="13"/>
      <c r="O9" s="13"/>
    </row>
    <row r="10" spans="2:15" ht="20.25" customHeight="1" x14ac:dyDescent="0.3">
      <c r="B10" s="131">
        <f t="shared" si="0"/>
        <v>7</v>
      </c>
      <c r="C10" s="175" t="s">
        <v>294</v>
      </c>
      <c r="D10" s="55" t="s">
        <v>293</v>
      </c>
      <c r="E10" s="177" t="s">
        <v>288</v>
      </c>
      <c r="F10" s="131" t="s">
        <v>146</v>
      </c>
      <c r="G10" s="124">
        <f>95</f>
        <v>95</v>
      </c>
      <c r="H10" s="130"/>
      <c r="I10" s="125"/>
      <c r="J10" s="130"/>
      <c r="K10" s="130"/>
      <c r="L10" s="13"/>
      <c r="M10" s="13"/>
      <c r="N10" s="13"/>
      <c r="O10" s="13"/>
    </row>
    <row r="11" spans="2:15" ht="21.75" customHeight="1" x14ac:dyDescent="0.3">
      <c r="B11" s="131">
        <f t="shared" si="0"/>
        <v>8</v>
      </c>
      <c r="C11" s="175" t="s">
        <v>292</v>
      </c>
      <c r="D11" s="55" t="s">
        <v>291</v>
      </c>
      <c r="E11" s="177" t="s">
        <v>288</v>
      </c>
      <c r="F11" s="131" t="s">
        <v>146</v>
      </c>
      <c r="G11" s="124">
        <v>70</v>
      </c>
      <c r="H11" s="130"/>
      <c r="I11" s="125"/>
      <c r="J11" s="130"/>
      <c r="K11" s="130"/>
      <c r="L11" s="13"/>
      <c r="M11" s="13"/>
      <c r="N11" s="13"/>
      <c r="O11" s="13"/>
    </row>
    <row r="12" spans="2:15" ht="24" customHeight="1" x14ac:dyDescent="0.3">
      <c r="B12" s="131">
        <f t="shared" si="0"/>
        <v>9</v>
      </c>
      <c r="C12" s="175" t="s">
        <v>290</v>
      </c>
      <c r="D12" s="55" t="s">
        <v>289</v>
      </c>
      <c r="E12" s="177" t="s">
        <v>288</v>
      </c>
      <c r="F12" s="55" t="s">
        <v>287</v>
      </c>
      <c r="G12" s="176">
        <f>(G10+G11)/2</f>
        <v>82.5</v>
      </c>
      <c r="H12" s="130"/>
      <c r="I12" s="125"/>
      <c r="J12" s="130"/>
      <c r="K12" s="130"/>
      <c r="L12" s="13"/>
      <c r="M12" s="13"/>
      <c r="N12" s="13"/>
      <c r="O12" s="13"/>
    </row>
    <row r="13" spans="2:15" ht="24" customHeight="1" x14ac:dyDescent="0.3">
      <c r="B13" s="131">
        <f t="shared" si="0"/>
        <v>10</v>
      </c>
      <c r="C13" s="175" t="s">
        <v>286</v>
      </c>
      <c r="D13" s="55" t="s">
        <v>285</v>
      </c>
      <c r="E13" s="132" t="s">
        <v>284</v>
      </c>
      <c r="F13" s="55" t="s">
        <v>283</v>
      </c>
      <c r="G13" s="176">
        <v>236580</v>
      </c>
      <c r="H13" s="130"/>
      <c r="I13" s="125"/>
      <c r="J13" s="130"/>
      <c r="K13" s="130"/>
      <c r="L13" s="13"/>
      <c r="M13" s="13"/>
      <c r="N13" s="13"/>
      <c r="O13" s="13"/>
    </row>
    <row r="14" spans="2:15" ht="20.25" customHeight="1" x14ac:dyDescent="0.3">
      <c r="B14" s="131">
        <f t="shared" si="0"/>
        <v>11</v>
      </c>
      <c r="C14" s="175" t="s">
        <v>282</v>
      </c>
      <c r="D14" s="55" t="s">
        <v>281</v>
      </c>
      <c r="E14" s="132" t="s">
        <v>223</v>
      </c>
      <c r="F14" s="55" t="s">
        <v>280</v>
      </c>
      <c r="G14" s="176">
        <v>221.51685393258427</v>
      </c>
      <c r="H14" s="130"/>
      <c r="I14" s="125"/>
      <c r="J14" s="130"/>
      <c r="K14" s="130"/>
      <c r="L14" s="13"/>
      <c r="M14" s="13"/>
      <c r="N14" s="13"/>
      <c r="O14" s="13"/>
    </row>
    <row r="15" spans="2:15" ht="21.75" customHeight="1" x14ac:dyDescent="0.3">
      <c r="B15" s="131">
        <f t="shared" si="0"/>
        <v>12</v>
      </c>
      <c r="C15" s="175" t="s">
        <v>279</v>
      </c>
      <c r="D15" s="55" t="s">
        <v>278</v>
      </c>
      <c r="E15" s="132" t="s">
        <v>277</v>
      </c>
      <c r="F15" s="55" t="s">
        <v>276</v>
      </c>
      <c r="G15" s="174">
        <f>G14/3600</f>
        <v>6.1532459425717854E-2</v>
      </c>
      <c r="H15" s="130"/>
      <c r="I15" s="125"/>
      <c r="J15" s="130"/>
      <c r="K15" s="130"/>
      <c r="L15" s="13"/>
      <c r="M15" s="13"/>
      <c r="N15" s="13"/>
      <c r="O15" s="13"/>
    </row>
    <row r="16" spans="2:15" ht="21.75" customHeight="1" x14ac:dyDescent="0.3">
      <c r="B16" s="131">
        <f t="shared" si="0"/>
        <v>13</v>
      </c>
      <c r="C16" s="133" t="s">
        <v>275</v>
      </c>
      <c r="D16" s="131" t="s">
        <v>258</v>
      </c>
      <c r="E16" s="131" t="s">
        <v>255</v>
      </c>
      <c r="F16" s="131" t="s">
        <v>146</v>
      </c>
      <c r="G16" s="131">
        <v>0.108</v>
      </c>
      <c r="H16" s="130"/>
      <c r="I16" s="125"/>
      <c r="J16" s="130"/>
      <c r="K16" s="130"/>
      <c r="L16" s="13"/>
      <c r="M16" s="13"/>
      <c r="N16" s="13"/>
      <c r="O16" s="13"/>
    </row>
    <row r="17" spans="2:15" ht="21.75" customHeight="1" x14ac:dyDescent="0.35">
      <c r="B17" s="131">
        <f t="shared" si="0"/>
        <v>14</v>
      </c>
      <c r="C17" s="133" t="s">
        <v>274</v>
      </c>
      <c r="D17" s="173" t="s">
        <v>256</v>
      </c>
      <c r="E17" s="131" t="s">
        <v>255</v>
      </c>
      <c r="F17" s="131" t="s">
        <v>146</v>
      </c>
      <c r="G17" s="131">
        <v>4.0000000000000001E-3</v>
      </c>
      <c r="H17" s="130"/>
      <c r="I17" s="125"/>
      <c r="J17" s="130"/>
      <c r="K17" s="130"/>
      <c r="L17" s="13"/>
      <c r="M17" s="13"/>
      <c r="N17" s="13"/>
      <c r="O17" s="13"/>
    </row>
    <row r="18" spans="2:15" ht="21.75" customHeight="1" x14ac:dyDescent="0.3">
      <c r="B18" s="131">
        <f t="shared" si="0"/>
        <v>15</v>
      </c>
      <c r="C18" s="133" t="s">
        <v>273</v>
      </c>
      <c r="D18" s="131"/>
      <c r="E18" s="131" t="s">
        <v>253</v>
      </c>
      <c r="F18" s="131" t="s">
        <v>99</v>
      </c>
      <c r="G18" s="131">
        <f>0.785*(G16-2*G17)^2</f>
        <v>7.8500000000000011E-3</v>
      </c>
      <c r="H18" s="130"/>
      <c r="I18" s="125"/>
      <c r="J18" s="130"/>
      <c r="K18" s="130"/>
      <c r="L18" s="13"/>
      <c r="M18" s="13"/>
      <c r="N18" s="13"/>
      <c r="O18" s="13"/>
    </row>
    <row r="19" spans="2:15" ht="21" customHeight="1" x14ac:dyDescent="0.4">
      <c r="B19" s="131">
        <f t="shared" si="0"/>
        <v>16</v>
      </c>
      <c r="C19" s="133" t="s">
        <v>272</v>
      </c>
      <c r="D19" s="131" t="s">
        <v>271</v>
      </c>
      <c r="E19" s="131" t="s">
        <v>250</v>
      </c>
      <c r="F19" s="131" t="s">
        <v>99</v>
      </c>
      <c r="G19" s="131">
        <f>G15/G18</f>
        <v>7.8385298631487705</v>
      </c>
      <c r="H19" s="130"/>
      <c r="I19" s="125"/>
      <c r="J19" s="130"/>
      <c r="K19" s="130"/>
      <c r="L19" s="13"/>
      <c r="M19" s="13"/>
      <c r="N19" s="13"/>
      <c r="O19" s="13"/>
    </row>
    <row r="20" spans="2:15" ht="21" customHeight="1" x14ac:dyDescent="0.35">
      <c r="B20" s="131">
        <f t="shared" si="0"/>
        <v>17</v>
      </c>
      <c r="C20" s="133" t="s">
        <v>270</v>
      </c>
      <c r="D20" s="173" t="s">
        <v>269</v>
      </c>
      <c r="E20" s="131" t="s">
        <v>99</v>
      </c>
      <c r="F20" s="131" t="s">
        <v>146</v>
      </c>
      <c r="G20" s="131">
        <v>0.92</v>
      </c>
      <c r="H20" s="13"/>
      <c r="I20" s="125"/>
      <c r="J20" s="130"/>
      <c r="K20" s="130"/>
      <c r="L20" s="13"/>
      <c r="M20" s="13" t="s">
        <v>311</v>
      </c>
      <c r="N20" s="13"/>
      <c r="O20" s="13"/>
    </row>
    <row r="21" spans="2:15" ht="21" customHeight="1" x14ac:dyDescent="0.3">
      <c r="B21" s="131">
        <f t="shared" si="0"/>
        <v>18</v>
      </c>
      <c r="C21" s="133" t="s">
        <v>268</v>
      </c>
      <c r="D21" s="131" t="s">
        <v>267</v>
      </c>
      <c r="E21" s="131" t="s">
        <v>266</v>
      </c>
      <c r="F21" s="131" t="s">
        <v>99</v>
      </c>
      <c r="G21" s="131">
        <v>1</v>
      </c>
      <c r="H21" s="130"/>
      <c r="I21" s="125"/>
      <c r="J21" s="130"/>
      <c r="K21" s="130"/>
      <c r="L21" s="13"/>
      <c r="M21" s="13"/>
      <c r="N21" s="13"/>
      <c r="O21" s="13"/>
    </row>
    <row r="22" spans="2:15" ht="19.5" customHeight="1" x14ac:dyDescent="0.3">
      <c r="B22" s="131">
        <f t="shared" si="0"/>
        <v>19</v>
      </c>
      <c r="C22" s="133" t="s">
        <v>265</v>
      </c>
      <c r="D22" s="131"/>
      <c r="E22" s="131" t="s">
        <v>264</v>
      </c>
      <c r="F22" s="131" t="s">
        <v>99</v>
      </c>
      <c r="G22" s="131">
        <f>('Тепл баланс'!F16/1.163)/(8500*0.92)*1000</f>
        <v>476.65333283487234</v>
      </c>
      <c r="H22" s="130"/>
      <c r="I22" s="125"/>
      <c r="J22" s="130"/>
      <c r="K22" s="130"/>
      <c r="L22" s="13"/>
      <c r="M22" s="13"/>
      <c r="N22" s="13"/>
      <c r="O22" s="13"/>
    </row>
    <row r="23" spans="2:15" ht="21" customHeight="1" x14ac:dyDescent="0.3">
      <c r="B23" s="131">
        <f t="shared" si="0"/>
        <v>20</v>
      </c>
      <c r="C23" s="133" t="s">
        <v>263</v>
      </c>
      <c r="D23" s="131" t="s">
        <v>258</v>
      </c>
      <c r="E23" s="131" t="s">
        <v>255</v>
      </c>
      <c r="F23" s="131" t="s">
        <v>146</v>
      </c>
      <c r="G23" s="131">
        <v>8.8999999999999996E-2</v>
      </c>
      <c r="H23" s="130"/>
      <c r="I23" s="125"/>
      <c r="J23" s="130"/>
      <c r="K23" s="130"/>
      <c r="L23" s="13"/>
      <c r="M23" s="13"/>
      <c r="N23" s="13"/>
      <c r="O23" s="13"/>
    </row>
    <row r="24" spans="2:15" ht="21" customHeight="1" x14ac:dyDescent="0.35">
      <c r="B24" s="131">
        <f t="shared" si="0"/>
        <v>21</v>
      </c>
      <c r="C24" s="133" t="s">
        <v>262</v>
      </c>
      <c r="D24" s="173" t="s">
        <v>256</v>
      </c>
      <c r="E24" s="131" t="s">
        <v>255</v>
      </c>
      <c r="F24" s="131" t="s">
        <v>146</v>
      </c>
      <c r="G24" s="131">
        <v>4.0000000000000001E-3</v>
      </c>
      <c r="H24" s="130"/>
      <c r="I24" s="125"/>
      <c r="J24" s="130"/>
      <c r="K24" s="130"/>
      <c r="L24" s="13"/>
      <c r="M24" s="13"/>
      <c r="N24" s="13"/>
      <c r="O24" s="13"/>
    </row>
    <row r="25" spans="2:15" ht="21" customHeight="1" x14ac:dyDescent="0.3">
      <c r="B25" s="131">
        <f t="shared" si="0"/>
        <v>22</v>
      </c>
      <c r="C25" s="133" t="s">
        <v>261</v>
      </c>
      <c r="D25" s="131"/>
      <c r="E25" s="131" t="s">
        <v>253</v>
      </c>
      <c r="F25" s="131" t="s">
        <v>99</v>
      </c>
      <c r="G25" s="131">
        <f>0.785*(G23-2*G24)^2</f>
        <v>5.1503849999999986E-3</v>
      </c>
      <c r="H25" s="130"/>
      <c r="I25" s="125"/>
      <c r="J25" s="130"/>
      <c r="K25" s="130"/>
      <c r="L25" s="13"/>
      <c r="M25" s="13"/>
      <c r="N25" s="13"/>
      <c r="O25" s="13"/>
    </row>
    <row r="26" spans="2:15" ht="19.5" customHeight="1" x14ac:dyDescent="0.4">
      <c r="B26" s="131">
        <f t="shared" si="0"/>
        <v>23</v>
      </c>
      <c r="C26" s="133" t="s">
        <v>260</v>
      </c>
      <c r="D26" s="131" t="s">
        <v>251</v>
      </c>
      <c r="E26" s="131" t="s">
        <v>250</v>
      </c>
      <c r="F26" s="131" t="s">
        <v>99</v>
      </c>
      <c r="G26" s="131">
        <f>G22/(3600*G25)</f>
        <v>25.707535177514369</v>
      </c>
      <c r="H26" s="130"/>
      <c r="I26" s="125"/>
      <c r="J26" s="130"/>
      <c r="K26" s="130"/>
      <c r="L26" s="13"/>
      <c r="M26" s="13"/>
      <c r="N26" s="13"/>
      <c r="O26" s="13"/>
    </row>
    <row r="27" spans="2:15" ht="24" customHeight="1" x14ac:dyDescent="0.3">
      <c r="B27" s="131">
        <f t="shared" si="0"/>
        <v>24</v>
      </c>
      <c r="C27" s="133" t="s">
        <v>259</v>
      </c>
      <c r="D27" s="131" t="s">
        <v>258</v>
      </c>
      <c r="E27" s="131" t="s">
        <v>255</v>
      </c>
      <c r="F27" s="131" t="s">
        <v>146</v>
      </c>
      <c r="G27" s="131">
        <v>8.8999999999999996E-2</v>
      </c>
      <c r="H27" s="130"/>
      <c r="I27" s="125"/>
      <c r="J27" s="130"/>
      <c r="K27" s="130"/>
      <c r="L27" s="13"/>
      <c r="M27" s="13"/>
      <c r="N27" s="13"/>
      <c r="O27" s="13"/>
    </row>
    <row r="28" spans="2:15" ht="24" customHeight="1" x14ac:dyDescent="0.35">
      <c r="B28" s="131">
        <f t="shared" si="0"/>
        <v>25</v>
      </c>
      <c r="C28" s="133" t="s">
        <v>257</v>
      </c>
      <c r="D28" s="173" t="s">
        <v>256</v>
      </c>
      <c r="E28" s="131" t="s">
        <v>255</v>
      </c>
      <c r="F28" s="131" t="s">
        <v>146</v>
      </c>
      <c r="G28" s="131">
        <v>4.0000000000000001E-3</v>
      </c>
      <c r="H28" s="130"/>
      <c r="I28" s="125"/>
      <c r="J28" s="130"/>
      <c r="K28" s="130"/>
      <c r="L28" s="13"/>
      <c r="M28" s="13"/>
      <c r="N28" s="13"/>
      <c r="O28" s="13"/>
    </row>
    <row r="29" spans="2:15" ht="24" customHeight="1" x14ac:dyDescent="0.3">
      <c r="B29" s="131">
        <f t="shared" si="0"/>
        <v>26</v>
      </c>
      <c r="C29" s="133" t="s">
        <v>254</v>
      </c>
      <c r="D29" s="131" t="s">
        <v>99</v>
      </c>
      <c r="E29" s="131" t="s">
        <v>253</v>
      </c>
      <c r="F29" s="131" t="s">
        <v>99</v>
      </c>
      <c r="G29" s="131">
        <f>0.785*(G27-2*G28)^2</f>
        <v>5.1503849999999986E-3</v>
      </c>
      <c r="H29" s="130"/>
      <c r="I29" s="125"/>
      <c r="J29" s="130"/>
      <c r="K29" s="130"/>
      <c r="L29" s="13"/>
      <c r="M29" s="13"/>
      <c r="N29" s="13"/>
      <c r="O29" s="13"/>
    </row>
    <row r="30" spans="2:15" ht="24" customHeight="1" x14ac:dyDescent="0.4">
      <c r="B30" s="131">
        <f t="shared" si="0"/>
        <v>27</v>
      </c>
      <c r="C30" s="133" t="s">
        <v>252</v>
      </c>
      <c r="D30" s="131" t="s">
        <v>251</v>
      </c>
      <c r="E30" s="131" t="s">
        <v>250</v>
      </c>
      <c r="F30" s="131" t="s">
        <v>99</v>
      </c>
      <c r="G30" s="131">
        <f>G22/(3600*G29*G21)</f>
        <v>25.707535177514369</v>
      </c>
      <c r="H30" s="130"/>
      <c r="I30" s="125"/>
      <c r="J30" s="130"/>
      <c r="K30" s="130"/>
      <c r="L30" s="13"/>
      <c r="M30" s="13"/>
      <c r="N30" s="13"/>
      <c r="O30" s="13"/>
    </row>
    <row r="31" spans="2:15" ht="24" customHeight="1" x14ac:dyDescent="0.3">
      <c r="B31" s="131">
        <f t="shared" si="0"/>
        <v>28</v>
      </c>
      <c r="C31" s="133"/>
      <c r="D31" s="131"/>
      <c r="E31" s="131"/>
      <c r="F31" s="131"/>
      <c r="G31" s="131"/>
      <c r="H31" s="130"/>
      <c r="I31" s="125"/>
      <c r="J31" s="130"/>
      <c r="K31" s="130"/>
      <c r="L31" s="13"/>
      <c r="M31" s="13"/>
      <c r="N31" s="13"/>
      <c r="O31" s="13"/>
    </row>
    <row r="32" spans="2:15" ht="24" customHeight="1" x14ac:dyDescent="0.3">
      <c r="B32" s="131">
        <f t="shared" si="0"/>
        <v>29</v>
      </c>
      <c r="C32" s="133"/>
      <c r="D32" s="131"/>
      <c r="E32" s="131"/>
      <c r="F32" s="131"/>
      <c r="G32" s="131"/>
      <c r="H32" s="130"/>
      <c r="I32" s="125"/>
      <c r="J32" s="130"/>
      <c r="K32" s="130"/>
      <c r="L32" s="13"/>
      <c r="M32" s="13"/>
      <c r="N32" s="13"/>
      <c r="O32" s="13"/>
    </row>
    <row r="33" spans="2:15" ht="24" customHeight="1" x14ac:dyDescent="0.3">
      <c r="B33" s="131">
        <f t="shared" si="0"/>
        <v>30</v>
      </c>
      <c r="C33" s="133"/>
      <c r="D33" s="131"/>
      <c r="E33" s="131"/>
      <c r="F33" s="131"/>
      <c r="G33" s="131"/>
      <c r="H33" s="130"/>
      <c r="I33" s="125"/>
      <c r="J33" s="130"/>
      <c r="K33" s="130"/>
      <c r="L33" s="13"/>
      <c r="M33" s="13"/>
      <c r="N33" s="13"/>
      <c r="O33" s="13"/>
    </row>
    <row r="34" spans="2:15" ht="24" customHeight="1" x14ac:dyDescent="0.3">
      <c r="B34" s="131">
        <f t="shared" si="0"/>
        <v>31</v>
      </c>
      <c r="C34" s="133"/>
      <c r="D34" s="131"/>
      <c r="E34" s="131"/>
      <c r="F34" s="131"/>
      <c r="G34" s="131"/>
      <c r="H34" s="130"/>
      <c r="I34" s="125"/>
      <c r="J34" s="130"/>
      <c r="K34" s="130"/>
      <c r="L34" s="13"/>
      <c r="M34" s="13"/>
      <c r="N34" s="13"/>
      <c r="O34" s="13"/>
    </row>
    <row r="35" spans="2:15" ht="24" customHeight="1" x14ac:dyDescent="0.3">
      <c r="B35" s="131"/>
      <c r="C35" s="133"/>
      <c r="D35" s="131"/>
      <c r="E35" s="131"/>
      <c r="F35" s="131"/>
      <c r="G35" s="131"/>
      <c r="H35" s="130"/>
      <c r="I35" s="125"/>
      <c r="J35" s="130"/>
      <c r="K35" s="130"/>
      <c r="L35" s="13"/>
      <c r="M35" s="13"/>
      <c r="N35" s="13"/>
      <c r="O35" s="13"/>
    </row>
    <row r="36" spans="2:15" ht="24" customHeight="1" x14ac:dyDescent="0.3">
      <c r="B36" s="131"/>
      <c r="C36" s="133"/>
      <c r="D36" s="131"/>
      <c r="E36" s="131"/>
      <c r="F36" s="131"/>
      <c r="G36" s="131"/>
      <c r="H36" s="130"/>
      <c r="I36" s="125"/>
      <c r="J36" s="130"/>
      <c r="K36" s="130"/>
      <c r="L36" s="13"/>
      <c r="M36" s="13"/>
      <c r="N36" s="13"/>
      <c r="O36" s="13"/>
    </row>
    <row r="37" spans="2:15" ht="24" customHeight="1" x14ac:dyDescent="0.3">
      <c r="B37" s="131"/>
      <c r="C37" s="133"/>
      <c r="D37" s="131"/>
      <c r="E37" s="131"/>
      <c r="F37" s="131"/>
      <c r="G37" s="131"/>
      <c r="H37" s="130"/>
      <c r="I37" s="125"/>
      <c r="J37" s="130"/>
      <c r="K37" s="130"/>
      <c r="L37" s="13"/>
      <c r="M37" s="13"/>
      <c r="N37" s="13"/>
      <c r="O37" s="13"/>
    </row>
    <row r="38" spans="2:15" ht="53.4" customHeight="1" x14ac:dyDescent="0.3">
      <c r="B38" s="131"/>
      <c r="C38" s="133"/>
      <c r="D38" s="131"/>
      <c r="E38" s="131"/>
      <c r="F38" s="131"/>
      <c r="G38" s="131"/>
      <c r="H38" s="130"/>
      <c r="I38" s="125"/>
      <c r="J38" s="130"/>
      <c r="K38" s="130"/>
      <c r="L38" s="13"/>
      <c r="M38" s="13"/>
      <c r="N38" s="13"/>
      <c r="O38" s="13"/>
    </row>
    <row r="39" spans="2:15" ht="30.6" customHeight="1" x14ac:dyDescent="0.3">
      <c r="B39" s="130"/>
      <c r="C39" s="130"/>
      <c r="D39" s="130"/>
      <c r="E39" s="130"/>
      <c r="F39" s="130"/>
      <c r="G39" s="130"/>
      <c r="H39" s="130"/>
      <c r="I39" s="125"/>
      <c r="J39" s="130"/>
      <c r="K39" s="130"/>
      <c r="L39" s="13"/>
      <c r="M39" s="13"/>
      <c r="N39" s="13"/>
      <c r="O39" s="13"/>
    </row>
    <row r="40" spans="2:15" ht="24.6" customHeight="1" x14ac:dyDescent="0.3">
      <c r="B40" s="130"/>
      <c r="C40" s="130"/>
      <c r="D40" s="130"/>
      <c r="E40" s="130"/>
      <c r="F40" s="130"/>
      <c r="G40" s="130"/>
      <c r="H40" s="130"/>
      <c r="I40" s="125"/>
      <c r="J40" s="130"/>
      <c r="K40" s="130"/>
      <c r="L40" s="13"/>
      <c r="M40" s="13"/>
      <c r="N40" s="13"/>
      <c r="O40" s="13"/>
    </row>
    <row r="41" spans="2:15" ht="23.4" customHeight="1" x14ac:dyDescent="0.3">
      <c r="B41" s="130"/>
      <c r="C41" s="130"/>
      <c r="D41" s="130"/>
      <c r="E41" s="130"/>
      <c r="F41" s="130"/>
      <c r="G41" s="130"/>
      <c r="H41" s="130"/>
      <c r="I41" s="125"/>
      <c r="J41" s="130"/>
      <c r="K41" s="130"/>
      <c r="L41" s="13"/>
      <c r="M41" s="13"/>
      <c r="N41" s="13"/>
      <c r="O41" s="13"/>
    </row>
    <row r="42" spans="2:15" ht="55.2" customHeight="1" x14ac:dyDescent="0.3">
      <c r="B42" s="130"/>
      <c r="C42" s="130"/>
      <c r="D42" s="130"/>
      <c r="E42" s="130"/>
      <c r="F42" s="130"/>
      <c r="G42" s="130"/>
      <c r="H42" s="130"/>
      <c r="I42" s="125"/>
      <c r="J42" s="130"/>
      <c r="K42" s="130"/>
      <c r="L42" s="13"/>
      <c r="M42" s="13"/>
      <c r="N42" s="13"/>
      <c r="O42" s="13"/>
    </row>
    <row r="43" spans="2:15" ht="21.75" customHeight="1" x14ac:dyDescent="0.3">
      <c r="B43" s="130"/>
      <c r="C43" s="130"/>
      <c r="D43" s="130"/>
      <c r="E43" s="130"/>
      <c r="F43" s="130"/>
      <c r="G43" s="130"/>
      <c r="H43" s="130"/>
      <c r="I43" s="125"/>
      <c r="J43" s="130"/>
      <c r="K43" s="130"/>
      <c r="L43" s="13"/>
      <c r="M43" s="13"/>
      <c r="N43" s="13"/>
      <c r="O43" s="13"/>
    </row>
    <row r="44" spans="2:15" ht="21.75" customHeight="1" x14ac:dyDescent="0.3">
      <c r="B44" s="130"/>
      <c r="C44" s="130"/>
      <c r="D44" s="130"/>
      <c r="E44" s="130"/>
      <c r="F44" s="130"/>
      <c r="G44" s="130"/>
      <c r="H44" s="130"/>
      <c r="I44" s="125"/>
      <c r="J44" s="130"/>
      <c r="K44" s="130"/>
      <c r="L44" s="13"/>
      <c r="M44" s="13"/>
      <c r="N44" s="13"/>
      <c r="O44" s="13"/>
    </row>
    <row r="45" spans="2:15" ht="54.6" customHeight="1" x14ac:dyDescent="0.3">
      <c r="B45" s="130"/>
      <c r="C45" s="130"/>
      <c r="D45" s="130"/>
      <c r="E45" s="130"/>
      <c r="F45" s="130"/>
      <c r="G45" s="130"/>
      <c r="H45" s="130"/>
      <c r="I45" s="125"/>
      <c r="J45" s="130"/>
      <c r="K45" s="130"/>
      <c r="L45" s="13"/>
      <c r="M45" s="13"/>
      <c r="N45" s="13"/>
      <c r="O45" s="13"/>
    </row>
    <row r="46" spans="2:15" ht="57.75" customHeight="1" x14ac:dyDescent="0.3">
      <c r="B46" s="130"/>
      <c r="C46" s="130"/>
      <c r="D46" s="130"/>
      <c r="E46" s="130"/>
      <c r="F46" s="130"/>
      <c r="G46" s="130"/>
      <c r="H46" s="130"/>
      <c r="I46" s="125"/>
      <c r="J46" s="130"/>
      <c r="K46" s="130"/>
      <c r="L46" s="13"/>
      <c r="M46" s="13"/>
      <c r="N46" s="13"/>
      <c r="O46" s="13"/>
    </row>
    <row r="47" spans="2:15" ht="45.6" customHeight="1" x14ac:dyDescent="0.3">
      <c r="B47" s="130"/>
      <c r="C47" s="130"/>
      <c r="D47" s="130"/>
      <c r="E47" s="130"/>
      <c r="F47" s="130"/>
      <c r="G47" s="130"/>
      <c r="H47" s="130"/>
      <c r="I47" s="125"/>
      <c r="J47" s="130"/>
      <c r="K47" s="130"/>
      <c r="L47" s="13"/>
      <c r="M47" s="13"/>
      <c r="N47" s="13"/>
      <c r="O47" s="13"/>
    </row>
    <row r="48" spans="2:15" ht="58.95" customHeight="1" x14ac:dyDescent="0.3">
      <c r="B48" s="130"/>
      <c r="C48" s="130"/>
      <c r="D48" s="130"/>
      <c r="E48" s="130"/>
      <c r="F48" s="130"/>
      <c r="G48" s="130"/>
      <c r="H48" s="130"/>
      <c r="I48" s="125"/>
      <c r="J48" s="130"/>
      <c r="K48" s="130"/>
      <c r="L48" s="13"/>
      <c r="M48" s="13"/>
      <c r="N48" s="13"/>
      <c r="O48" s="13"/>
    </row>
    <row r="49" spans="2:15" ht="49.95" customHeight="1" x14ac:dyDescent="0.3">
      <c r="B49" s="130"/>
      <c r="C49" s="130"/>
      <c r="D49" s="130"/>
      <c r="E49" s="130"/>
      <c r="F49" s="130"/>
      <c r="G49" s="130"/>
      <c r="H49" s="130"/>
      <c r="I49" s="125"/>
      <c r="J49" s="130"/>
      <c r="K49" s="130"/>
      <c r="L49" s="13"/>
      <c r="M49" s="13"/>
      <c r="N49" s="13"/>
      <c r="O49" s="13"/>
    </row>
    <row r="50" spans="2:15" ht="52.95" customHeight="1" x14ac:dyDescent="0.3">
      <c r="B50" s="130"/>
      <c r="C50" s="130"/>
      <c r="D50" s="130"/>
      <c r="E50" s="130"/>
      <c r="F50" s="130"/>
      <c r="G50" s="130"/>
      <c r="H50" s="130"/>
      <c r="I50" s="125"/>
      <c r="J50" s="130"/>
      <c r="K50" s="130"/>
      <c r="L50" s="13"/>
      <c r="M50" s="13"/>
      <c r="N50" s="13"/>
      <c r="O50" s="13"/>
    </row>
    <row r="51" spans="2:15" ht="56.4" customHeight="1" x14ac:dyDescent="0.3">
      <c r="B51" s="130"/>
      <c r="C51" s="130"/>
      <c r="D51" s="130"/>
      <c r="E51" s="130"/>
      <c r="F51" s="130"/>
      <c r="G51" s="130"/>
      <c r="H51" s="130"/>
      <c r="I51" s="125"/>
      <c r="J51" s="130"/>
      <c r="K51" s="130"/>
      <c r="L51" s="13"/>
      <c r="M51" s="13"/>
      <c r="N51" s="13"/>
      <c r="O51" s="13"/>
    </row>
    <row r="52" spans="2:15" ht="21.75" customHeight="1" x14ac:dyDescent="0.3">
      <c r="B52" s="130"/>
      <c r="C52" s="130"/>
      <c r="D52" s="130"/>
      <c r="E52" s="130"/>
      <c r="F52" s="130"/>
      <c r="G52" s="130"/>
      <c r="H52" s="130"/>
      <c r="I52" s="125"/>
      <c r="J52" s="130"/>
      <c r="K52" s="130"/>
      <c r="L52" s="13"/>
      <c r="M52" s="13"/>
      <c r="N52" s="13"/>
      <c r="O52" s="13"/>
    </row>
    <row r="53" spans="2:15" ht="21.75" customHeight="1" x14ac:dyDescent="0.3">
      <c r="B53" s="130"/>
      <c r="C53" s="130"/>
      <c r="D53" s="130"/>
      <c r="E53" s="130"/>
      <c r="F53" s="130"/>
      <c r="G53" s="130"/>
      <c r="H53" s="130"/>
      <c r="I53" s="125"/>
      <c r="J53" s="130"/>
      <c r="K53" s="130"/>
      <c r="L53" s="13"/>
      <c r="M53" s="13"/>
      <c r="N53" s="13"/>
      <c r="O53" s="13"/>
    </row>
    <row r="54" spans="2:15" ht="37.5" customHeight="1" x14ac:dyDescent="0.3">
      <c r="B54" s="130"/>
      <c r="C54" s="130"/>
      <c r="D54" s="130"/>
      <c r="E54" s="130"/>
      <c r="F54" s="130"/>
      <c r="G54" s="130"/>
      <c r="H54" s="130"/>
      <c r="I54" s="125"/>
      <c r="J54" s="130"/>
      <c r="K54" s="130"/>
      <c r="L54" s="13"/>
      <c r="M54" s="13"/>
      <c r="N54" s="13"/>
      <c r="O54" s="13"/>
    </row>
    <row r="55" spans="2:15" ht="21.75" customHeight="1" x14ac:dyDescent="0.3">
      <c r="B55" s="130"/>
      <c r="C55" s="130"/>
      <c r="D55" s="130"/>
      <c r="E55" s="130"/>
      <c r="F55" s="130"/>
      <c r="G55" s="130"/>
      <c r="H55" s="130"/>
      <c r="I55" s="125"/>
      <c r="J55" s="130"/>
      <c r="K55" s="130"/>
      <c r="L55" s="13"/>
      <c r="M55" s="13"/>
      <c r="N55" s="13"/>
      <c r="O55" s="13"/>
    </row>
    <row r="56" spans="2:15" ht="21.75" customHeight="1" x14ac:dyDescent="0.3">
      <c r="B56" s="130"/>
      <c r="C56" s="130"/>
      <c r="D56" s="130"/>
      <c r="E56" s="130"/>
      <c r="F56" s="130"/>
      <c r="G56" s="130"/>
      <c r="H56" s="130"/>
      <c r="I56" s="125"/>
      <c r="J56" s="130"/>
      <c r="K56" s="130"/>
      <c r="L56" s="13"/>
      <c r="M56" s="13"/>
      <c r="N56" s="13"/>
      <c r="O56" s="13"/>
    </row>
    <row r="57" spans="2:15" ht="49.2" customHeight="1" x14ac:dyDescent="0.3">
      <c r="B57" s="130"/>
      <c r="C57" s="130"/>
      <c r="D57" s="130"/>
      <c r="E57" s="130"/>
      <c r="F57" s="130"/>
      <c r="G57" s="130"/>
      <c r="H57" s="130"/>
      <c r="I57" s="125"/>
      <c r="J57" s="130"/>
      <c r="K57" s="130"/>
      <c r="L57" s="13"/>
      <c r="M57" s="13"/>
      <c r="N57" s="13"/>
      <c r="O57" s="13"/>
    </row>
    <row r="58" spans="2:15" ht="52.5" customHeight="1" x14ac:dyDescent="0.3">
      <c r="B58" s="130"/>
      <c r="C58" s="130"/>
      <c r="D58" s="130"/>
      <c r="E58" s="130"/>
      <c r="F58" s="130"/>
      <c r="G58" s="130"/>
      <c r="H58" s="130"/>
      <c r="I58" s="125"/>
      <c r="J58" s="130"/>
      <c r="K58" s="130"/>
      <c r="L58" s="13"/>
      <c r="M58" s="13"/>
      <c r="N58" s="13"/>
      <c r="O58" s="13"/>
    </row>
    <row r="59" spans="2:15" ht="21.75" customHeight="1" x14ac:dyDescent="0.3">
      <c r="B59" s="130"/>
      <c r="C59" s="130"/>
      <c r="D59" s="130"/>
      <c r="E59" s="130"/>
      <c r="F59" s="130"/>
      <c r="G59" s="130"/>
      <c r="H59" s="130"/>
      <c r="I59" s="125"/>
      <c r="J59" s="130"/>
      <c r="K59" s="130"/>
      <c r="L59" s="13"/>
      <c r="M59" s="13"/>
      <c r="N59" s="13"/>
      <c r="O59" s="13"/>
    </row>
    <row r="60" spans="2:15" ht="28.2" customHeight="1" x14ac:dyDescent="0.3">
      <c r="B60" s="130"/>
      <c r="C60" s="130"/>
      <c r="D60" s="130"/>
      <c r="E60" s="130"/>
      <c r="F60" s="130"/>
      <c r="G60" s="130"/>
      <c r="H60" s="130"/>
      <c r="I60" s="125"/>
      <c r="J60" s="130"/>
      <c r="K60" s="130"/>
      <c r="L60" s="13"/>
      <c r="M60" s="13"/>
      <c r="N60" s="13"/>
      <c r="O60" s="13"/>
    </row>
    <row r="61" spans="2:15" ht="21.75" customHeight="1" x14ac:dyDescent="0.3">
      <c r="B61" s="130"/>
      <c r="C61" s="130"/>
      <c r="D61" s="130"/>
      <c r="E61" s="130"/>
      <c r="F61" s="130"/>
      <c r="G61" s="130"/>
      <c r="H61" s="130"/>
      <c r="I61" s="125"/>
      <c r="J61" s="130"/>
      <c r="K61" s="130"/>
      <c r="L61" s="13"/>
      <c r="M61" s="13"/>
      <c r="N61" s="13"/>
      <c r="O61" s="13"/>
    </row>
    <row r="62" spans="2:15" ht="44.25" customHeight="1" x14ac:dyDescent="0.3">
      <c r="B62" s="130"/>
      <c r="C62" s="130"/>
      <c r="D62" s="130"/>
      <c r="E62" s="130"/>
      <c r="F62" s="130"/>
      <c r="G62" s="130"/>
      <c r="H62" s="130"/>
      <c r="I62" s="125"/>
      <c r="J62" s="130"/>
      <c r="K62" s="130"/>
      <c r="L62" s="13"/>
      <c r="M62" s="13"/>
      <c r="N62" s="13"/>
      <c r="O62" s="13"/>
    </row>
    <row r="63" spans="2:15" ht="21.75" customHeight="1" x14ac:dyDescent="0.3">
      <c r="B63" s="130"/>
      <c r="C63" s="130"/>
      <c r="D63" s="130"/>
      <c r="E63" s="130"/>
      <c r="F63" s="130"/>
      <c r="G63" s="130"/>
      <c r="H63" s="130"/>
      <c r="I63" s="125"/>
      <c r="J63" s="130"/>
      <c r="K63" s="130"/>
      <c r="L63" s="13"/>
      <c r="M63" s="13"/>
      <c r="N63" s="13"/>
      <c r="O63" s="13"/>
    </row>
    <row r="64" spans="2:15" ht="46.5" customHeight="1" x14ac:dyDescent="0.3">
      <c r="B64" s="130"/>
      <c r="C64" s="130"/>
      <c r="D64" s="130"/>
      <c r="E64" s="130"/>
      <c r="F64" s="130"/>
      <c r="G64" s="130"/>
      <c r="H64" s="130"/>
      <c r="I64" s="125"/>
      <c r="J64" s="130"/>
      <c r="K64" s="130"/>
      <c r="L64" s="13"/>
      <c r="M64" s="13"/>
      <c r="N64" s="13"/>
      <c r="O64" s="13"/>
    </row>
    <row r="65" spans="2:15" ht="21" customHeight="1" x14ac:dyDescent="0.3">
      <c r="B65" s="130"/>
      <c r="C65" s="130"/>
      <c r="D65" s="130"/>
      <c r="E65" s="130"/>
      <c r="F65" s="130"/>
      <c r="G65" s="130"/>
      <c r="H65" s="130"/>
      <c r="I65" s="125"/>
      <c r="J65" s="130"/>
      <c r="K65" s="130"/>
      <c r="L65" s="13"/>
      <c r="M65" s="13"/>
      <c r="N65" s="13"/>
      <c r="O65" s="13"/>
    </row>
    <row r="66" spans="2:15" ht="26.4" customHeight="1" x14ac:dyDescent="0.3">
      <c r="B66" s="130"/>
      <c r="C66" s="130"/>
      <c r="D66" s="130"/>
      <c r="E66" s="130"/>
      <c r="F66" s="130"/>
      <c r="G66" s="130"/>
      <c r="H66" s="130"/>
      <c r="I66" s="130"/>
      <c r="J66" s="130"/>
      <c r="K66" s="130"/>
      <c r="L66" s="13"/>
      <c r="M66" s="13"/>
      <c r="N66" s="13"/>
      <c r="O66" s="13"/>
    </row>
    <row r="67" spans="2:15" ht="46.2" customHeight="1" x14ac:dyDescent="0.4">
      <c r="B67" s="161"/>
      <c r="C67" s="164"/>
      <c r="D67" s="161"/>
      <c r="E67" s="163"/>
      <c r="F67" s="172"/>
      <c r="G67" s="130"/>
      <c r="H67" s="130"/>
      <c r="I67" s="125"/>
      <c r="J67" s="130"/>
      <c r="K67" s="130"/>
      <c r="L67" s="13"/>
      <c r="M67" s="13"/>
      <c r="N67" s="13"/>
      <c r="O67" s="13"/>
    </row>
    <row r="68" spans="2:15" ht="52.95" customHeight="1" x14ac:dyDescent="0.3">
      <c r="B68" s="161"/>
      <c r="C68" s="164"/>
      <c r="D68" s="161"/>
      <c r="E68" s="163"/>
      <c r="F68" s="161"/>
      <c r="G68" s="130"/>
      <c r="H68" s="130"/>
      <c r="I68" s="125"/>
      <c r="J68" s="130"/>
      <c r="K68" s="130"/>
      <c r="L68" s="13"/>
      <c r="M68" s="13"/>
      <c r="N68" s="13"/>
      <c r="O68" s="13"/>
    </row>
    <row r="69" spans="2:15" ht="23.4" customHeight="1" x14ac:dyDescent="0.3">
      <c r="B69" s="161"/>
      <c r="C69" s="171"/>
      <c r="D69" s="125"/>
      <c r="E69" s="161"/>
      <c r="F69" s="125"/>
      <c r="G69" s="130"/>
      <c r="H69" s="130"/>
      <c r="I69" s="125"/>
      <c r="J69" s="130"/>
      <c r="K69" s="130"/>
      <c r="L69" s="13"/>
      <c r="M69" s="13"/>
      <c r="N69" s="13"/>
      <c r="O69" s="13"/>
    </row>
    <row r="70" spans="2:15" ht="23.4" customHeight="1" x14ac:dyDescent="0.3">
      <c r="B70" s="161"/>
      <c r="C70" s="164"/>
      <c r="D70" s="161"/>
      <c r="E70" s="170"/>
      <c r="F70" s="161"/>
      <c r="G70" s="130"/>
      <c r="H70" s="130"/>
      <c r="I70" s="125"/>
      <c r="J70" s="130"/>
      <c r="K70" s="130"/>
      <c r="L70" s="13"/>
      <c r="M70" s="13"/>
      <c r="N70" s="13"/>
      <c r="O70" s="13"/>
    </row>
    <row r="71" spans="2:15" ht="23.4" customHeight="1" x14ac:dyDescent="0.3">
      <c r="B71" s="161"/>
      <c r="C71" s="164"/>
      <c r="D71" s="161"/>
      <c r="E71" s="170"/>
      <c r="F71" s="161"/>
      <c r="G71" s="130"/>
      <c r="H71" s="130"/>
      <c r="I71" s="125"/>
      <c r="J71" s="130"/>
      <c r="K71" s="130"/>
      <c r="L71" s="13"/>
      <c r="M71" s="13"/>
      <c r="N71" s="13"/>
      <c r="O71" s="13"/>
    </row>
    <row r="72" spans="2:15" ht="45" customHeight="1" x14ac:dyDescent="0.3">
      <c r="B72" s="161"/>
      <c r="C72" s="159"/>
      <c r="D72" s="161"/>
      <c r="E72" s="161"/>
      <c r="F72" s="161"/>
      <c r="G72" s="130"/>
      <c r="H72" s="130"/>
      <c r="I72" s="125"/>
      <c r="J72" s="130"/>
      <c r="K72" s="130"/>
      <c r="L72" s="13"/>
      <c r="M72" s="13"/>
      <c r="N72" s="13"/>
      <c r="O72" s="13"/>
    </row>
    <row r="73" spans="2:15" ht="51.6" customHeight="1" x14ac:dyDescent="0.3">
      <c r="B73" s="161"/>
      <c r="C73" s="159"/>
      <c r="D73" s="161"/>
      <c r="E73" s="161"/>
      <c r="F73" s="161"/>
      <c r="G73" s="130"/>
      <c r="H73" s="130"/>
      <c r="I73" s="125"/>
      <c r="J73" s="130"/>
      <c r="K73" s="130"/>
      <c r="L73" s="13"/>
      <c r="M73" s="13"/>
      <c r="N73" s="13"/>
      <c r="O73" s="13"/>
    </row>
    <row r="74" spans="2:15" ht="27" customHeight="1" x14ac:dyDescent="0.3">
      <c r="B74" s="161"/>
      <c r="C74" s="159"/>
      <c r="D74" s="161"/>
      <c r="E74" s="161"/>
      <c r="F74" s="161"/>
      <c r="G74" s="130"/>
      <c r="H74" s="130"/>
      <c r="I74" s="125"/>
      <c r="J74" s="130"/>
      <c r="K74" s="130"/>
      <c r="L74" s="13"/>
      <c r="M74" s="13"/>
      <c r="N74" s="13"/>
      <c r="O74" s="13"/>
    </row>
    <row r="75" spans="2:15" ht="47.4" customHeight="1" x14ac:dyDescent="0.3">
      <c r="B75" s="161"/>
      <c r="C75" s="164"/>
      <c r="D75" s="161"/>
      <c r="E75" s="170"/>
      <c r="F75" s="161"/>
      <c r="G75" s="130"/>
      <c r="H75" s="130"/>
      <c r="I75" s="125"/>
      <c r="J75" s="130"/>
      <c r="K75" s="130"/>
      <c r="L75" s="13"/>
      <c r="M75" s="13"/>
      <c r="N75" s="13"/>
      <c r="O75" s="13"/>
    </row>
    <row r="76" spans="2:15" ht="23.4" customHeight="1" x14ac:dyDescent="0.3">
      <c r="B76" s="161"/>
      <c r="C76" s="130"/>
      <c r="D76" s="125"/>
      <c r="E76" s="161"/>
      <c r="F76" s="125"/>
      <c r="G76" s="130"/>
      <c r="H76" s="130"/>
      <c r="I76" s="125"/>
      <c r="J76" s="130"/>
      <c r="K76" s="130"/>
      <c r="L76" s="13"/>
      <c r="M76" s="13"/>
      <c r="N76" s="13"/>
      <c r="O76" s="13"/>
    </row>
    <row r="77" spans="2:15" ht="48.75" customHeight="1" x14ac:dyDescent="0.3">
      <c r="B77" s="161"/>
      <c r="C77" s="164"/>
      <c r="D77" s="161"/>
      <c r="E77" s="161"/>
      <c r="F77" s="169"/>
      <c r="G77" s="130"/>
      <c r="H77" s="130"/>
      <c r="I77" s="125"/>
      <c r="J77" s="130"/>
      <c r="K77" s="130"/>
      <c r="L77" s="13"/>
      <c r="M77" s="13"/>
      <c r="N77" s="13"/>
      <c r="O77" s="13"/>
    </row>
    <row r="78" spans="2:15" ht="71.400000000000006" customHeight="1" x14ac:dyDescent="0.3">
      <c r="B78" s="161"/>
      <c r="C78" s="168"/>
      <c r="D78" s="161"/>
      <c r="E78" s="161"/>
      <c r="F78" s="161"/>
      <c r="G78" s="130"/>
      <c r="H78" s="130"/>
      <c r="I78" s="125"/>
      <c r="J78" s="130"/>
      <c r="K78" s="130"/>
      <c r="L78" s="13"/>
      <c r="M78" s="13"/>
      <c r="N78" s="13"/>
      <c r="O78" s="13"/>
    </row>
    <row r="79" spans="2:15" ht="46.95" customHeight="1" x14ac:dyDescent="0.3">
      <c r="B79" s="161"/>
      <c r="C79" s="167"/>
      <c r="D79" s="161"/>
      <c r="E79" s="161"/>
      <c r="F79" s="161"/>
      <c r="G79" s="130"/>
      <c r="H79" s="130"/>
      <c r="I79" s="125"/>
      <c r="J79" s="130"/>
      <c r="K79" s="130"/>
      <c r="L79" s="13"/>
      <c r="M79" s="13"/>
      <c r="N79" s="13"/>
      <c r="O79" s="13"/>
    </row>
    <row r="80" spans="2:15" ht="37.950000000000003" customHeight="1" x14ac:dyDescent="0.3">
      <c r="B80" s="161"/>
      <c r="C80" s="167"/>
      <c r="D80" s="129"/>
      <c r="E80" s="128"/>
      <c r="F80" s="35"/>
      <c r="G80" s="130"/>
      <c r="H80" s="130"/>
      <c r="I80" s="125"/>
      <c r="J80" s="130"/>
      <c r="K80" s="130"/>
      <c r="L80" s="13"/>
      <c r="M80" s="13"/>
      <c r="N80" s="13"/>
      <c r="O80" s="13"/>
    </row>
    <row r="81" spans="2:15" ht="18" customHeight="1" x14ac:dyDescent="0.3">
      <c r="B81" s="166"/>
      <c r="C81" s="165"/>
      <c r="D81" s="165"/>
      <c r="E81" s="165"/>
      <c r="F81" s="165"/>
      <c r="G81" s="130"/>
      <c r="J81" s="158"/>
      <c r="K81" s="158"/>
      <c r="L81" s="158"/>
      <c r="M81" s="158"/>
      <c r="N81" s="158"/>
      <c r="O81" s="158"/>
    </row>
    <row r="82" spans="2:15" ht="21.45" customHeight="1" x14ac:dyDescent="0.3">
      <c r="B82" s="166"/>
      <c r="C82" s="165"/>
      <c r="D82" s="165"/>
      <c r="E82" s="165"/>
      <c r="F82" s="165"/>
      <c r="G82" s="130"/>
      <c r="J82" s="158"/>
      <c r="K82" s="158"/>
      <c r="L82" s="158"/>
      <c r="M82" s="158"/>
      <c r="N82" s="158"/>
      <c r="O82" s="158"/>
    </row>
    <row r="83" spans="2:15" ht="48" customHeight="1" x14ac:dyDescent="0.3">
      <c r="B83" s="161"/>
      <c r="C83" s="164"/>
      <c r="D83" s="161"/>
      <c r="E83" s="163"/>
      <c r="F83" s="161"/>
      <c r="G83" s="130"/>
      <c r="J83" s="158"/>
      <c r="K83" s="158"/>
      <c r="L83" s="158"/>
      <c r="M83" s="158"/>
      <c r="N83" s="158"/>
      <c r="O83" s="158"/>
    </row>
    <row r="84" spans="2:15" ht="47.4" customHeight="1" x14ac:dyDescent="0.3">
      <c r="B84" s="161"/>
      <c r="C84" s="159"/>
      <c r="D84" s="162"/>
      <c r="E84" s="128"/>
      <c r="F84" s="128"/>
      <c r="G84" s="130"/>
      <c r="J84" s="158"/>
      <c r="K84" s="158"/>
      <c r="L84" s="158"/>
      <c r="M84" s="158"/>
      <c r="N84" s="158"/>
      <c r="O84" s="158"/>
    </row>
    <row r="85" spans="2:15" ht="47.4" customHeight="1" x14ac:dyDescent="0.3">
      <c r="B85" s="161"/>
      <c r="C85" s="159"/>
      <c r="D85" s="162"/>
      <c r="E85" s="128"/>
      <c r="F85" s="162"/>
      <c r="G85" s="130"/>
      <c r="J85" s="158"/>
      <c r="K85" s="158"/>
      <c r="L85" s="158"/>
      <c r="M85" s="158"/>
      <c r="N85" s="158"/>
      <c r="O85" s="158"/>
    </row>
    <row r="86" spans="2:15" ht="38.85" customHeight="1" x14ac:dyDescent="0.3">
      <c r="B86" s="161"/>
      <c r="C86" s="159"/>
      <c r="D86" s="161"/>
      <c r="E86" s="128"/>
      <c r="F86" s="159"/>
      <c r="G86" s="130"/>
      <c r="J86" s="158"/>
      <c r="K86" s="158"/>
      <c r="L86" s="158"/>
      <c r="M86" s="158"/>
      <c r="N86" s="158"/>
      <c r="O86" s="158"/>
    </row>
    <row r="87" spans="2:15" ht="38.85" customHeight="1" x14ac:dyDescent="0.3">
      <c r="B87" s="161"/>
      <c r="C87" s="159"/>
      <c r="D87" s="160"/>
      <c r="E87" s="128"/>
      <c r="F87" s="159"/>
      <c r="G87" s="130"/>
      <c r="J87" s="158"/>
      <c r="K87" s="158"/>
      <c r="L87" s="158"/>
      <c r="M87" s="158"/>
      <c r="N87" s="158"/>
      <c r="O87" s="158"/>
    </row>
    <row r="91" spans="2:15" ht="23.4" customHeight="1" x14ac:dyDescent="0.3"/>
    <row r="92" spans="2:15" ht="39.6" customHeight="1" x14ac:dyDescent="0.3"/>
    <row r="96" spans="2:15" ht="34.950000000000003" customHeight="1" x14ac:dyDescent="0.3"/>
  </sheetData>
  <mergeCells count="1">
    <mergeCell ref="B1:G2"/>
  </mergeCells>
  <pageMargins left="0.74791666666666701" right="0.74791666666666701" top="0.98402777777777795" bottom="0.98402777777777795" header="0.51180555555555496" footer="0.51180555555555496"/>
  <pageSetup paperSize="0" scale="0" firstPageNumber="0" fitToHeight="5" pageOrder="overThenDown" orientation="portrait" usePrinterDefaults="0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21</vt:i4>
      </vt:variant>
    </vt:vector>
  </HeadingPairs>
  <TitlesOfParts>
    <vt:vector size="29" baseType="lpstr">
      <vt:lpstr>Результат</vt:lpstr>
      <vt:lpstr>Исходные данные</vt:lpstr>
      <vt:lpstr>Промежуточный расчет</vt:lpstr>
      <vt:lpstr>Регулятор</vt:lpstr>
      <vt:lpstr>Тепл баланс</vt:lpstr>
      <vt:lpstr>Свх</vt:lpstr>
      <vt:lpstr>Свхвыхкот</vt:lpstr>
      <vt:lpstr>Расчет тепл мощности</vt:lpstr>
      <vt:lpstr>Регулятор!D</vt:lpstr>
      <vt:lpstr>Регулятор!DPкг</vt:lpstr>
      <vt:lpstr>Регулятор!E</vt:lpstr>
      <vt:lpstr>'Расчет тепл мощности'!Excel_BuiltIn_Print_Area_2</vt:lpstr>
      <vt:lpstr>Свхвыхкот!Excel_BuiltIn_Print_Area_4</vt:lpstr>
      <vt:lpstr>Excel_BuiltIn_Print_Area_4</vt:lpstr>
      <vt:lpstr>Регулятор!gn</vt:lpstr>
      <vt:lpstr>Регулятор!P_1</vt:lpstr>
      <vt:lpstr>Регулятор!P_1кг</vt:lpstr>
      <vt:lpstr>Регулятор!P_2</vt:lpstr>
      <vt:lpstr>Регулятор!P_2кг</vt:lpstr>
      <vt:lpstr>'Исходные данные'!Print_Area</vt:lpstr>
      <vt:lpstr>'Тепл баланс'!Print_Area</vt:lpstr>
      <vt:lpstr>'Тепл баланс'!Print_Area_0</vt:lpstr>
      <vt:lpstr>'Тепл баланс'!Print_Area_0_0</vt:lpstr>
      <vt:lpstr>'Тепл баланс'!Print_Area_0_0_0</vt:lpstr>
      <vt:lpstr>'Тепл баланс'!Print_Area_0_0_0_0</vt:lpstr>
      <vt:lpstr>Регулятор!Qmax</vt:lpstr>
      <vt:lpstr>Регулятор!Qmin</vt:lpstr>
      <vt:lpstr>Регулятор!t</vt:lpstr>
      <vt:lpstr>Регулятор!T_1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2025-03-21T10:22:31Z</dcterms:modified>
</cp:coreProperties>
</file>