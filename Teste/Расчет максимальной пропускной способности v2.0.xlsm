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showInkAnnotation="0" codeName="ЭтаКнига"/>
  <xr:revisionPtr revIDLastSave="0" documentId="13_ncr:1_{50372C9B-F4CD-4814-955C-82206CD1B8D8}" xr6:coauthVersionLast="47" xr6:coauthVersionMax="47" xr10:uidLastSave="{00000000-0000-0000-0000-000000000000}"/>
  <bookViews>
    <workbookView xWindow="-108" yWindow="-108" windowWidth="23256" windowHeight="12576" firstSheet="1" activeTab="5" xr2:uid="{00000000-000D-0000-FFFF-FFFF00000000}"/>
  </bookViews>
  <sheets>
    <sheet name="Результат" sheetId="9" r:id="rId1"/>
    <sheet name="Исходные данные" sheetId="1" r:id="rId2"/>
    <sheet name="Промежуточный расчет" sheetId="2" r:id="rId3"/>
    <sheet name="Регулятор" sheetId="5" r:id="rId4"/>
    <sheet name="Тепл баланс" sheetId="7" r:id="rId5"/>
    <sheet name="Свх" sheetId="3" r:id="rId6"/>
    <sheet name="Свхвыхкот" sheetId="11" r:id="rId7"/>
    <sheet name="Расчет тепл мощности" sheetId="8" r:id="rId8"/>
  </sheets>
  <functionGroup name="Commands"/>
  <functionGroup name="optiSLang Excel Add-In MOP Solve"/>
  <externalReferences>
    <externalReference r:id="rId9"/>
  </externalReferences>
  <definedNames>
    <definedName name="D" localSheetId="3">Регулятор!$F$16</definedName>
    <definedName name="D">'[1]Регулятор давления'!$F$16</definedName>
    <definedName name="DPкг" localSheetId="3">Регулятор!$B$37</definedName>
    <definedName name="DPкг">'[1]Регулятор давления'!$B$37</definedName>
    <definedName name="E" localSheetId="3">Регулятор!$B$44</definedName>
    <definedName name="E">'[1]Регулятор давления'!$B$44</definedName>
    <definedName name="Excel_BuiltIn_Print_Area_1" localSheetId="7">#REF!</definedName>
    <definedName name="Excel_BuiltIn_Print_Area_1" localSheetId="6">#REF!</definedName>
    <definedName name="Excel_BuiltIn_Print_Area_1" localSheetId="4">#REF!</definedName>
    <definedName name="Excel_BuiltIn_Print_Area_1">#REF!</definedName>
    <definedName name="Excel_BuiltIn_Print_Area_2" localSheetId="7">'Расчет тепл мощности'!$A$1:$G$97</definedName>
    <definedName name="Excel_BuiltIn_Print_Area_2" localSheetId="6">#REF!</definedName>
    <definedName name="Excel_BuiltIn_Print_Area_2" localSheetId="4">#REF!</definedName>
    <definedName name="Excel_BuiltIn_Print_Area_2">#REF!</definedName>
    <definedName name="Excel_BuiltIn_Print_Area_4" localSheetId="6">Свхвыхкот!$A$1:$I$37</definedName>
    <definedName name="Excel_BuiltIn_Print_Area_4">Свх!$A$1:$I$37</definedName>
    <definedName name="Excel_BuiltIn_Print_Area_5" localSheetId="7">#REF!</definedName>
    <definedName name="Excel_BuiltIn_Print_Area_5" localSheetId="6">#REF!</definedName>
    <definedName name="Excel_BuiltIn_Print_Area_5" localSheetId="4">#REF!</definedName>
    <definedName name="Excel_BuiltIn_Print_Area_5">#REF!</definedName>
    <definedName name="Excel_BuiltIn_Print_Area_6" localSheetId="7">#REF!</definedName>
    <definedName name="Excel_BuiltIn_Print_Area_6" localSheetId="6">#REF!</definedName>
    <definedName name="Excel_BuiltIn_Print_Area_6" localSheetId="4">#REF!</definedName>
    <definedName name="Excel_BuiltIn_Print_Area_6">#REF!</definedName>
    <definedName name="Excel_BuiltIn_Print_Area_7" localSheetId="7">#REF!</definedName>
    <definedName name="Excel_BuiltIn_Print_Area_7" localSheetId="6">#REF!</definedName>
    <definedName name="Excel_BuiltIn_Print_Area_7" localSheetId="4">#REF!</definedName>
    <definedName name="Excel_BuiltIn_Print_Area_7">#REF!</definedName>
    <definedName name="Excel_BuiltIn_Print_Area_8" localSheetId="7">#REF!</definedName>
    <definedName name="Excel_BuiltIn_Print_Area_8" localSheetId="6">#REF!</definedName>
    <definedName name="Excel_BuiltIn_Print_Area_8" localSheetId="4">#REF!</definedName>
    <definedName name="Excel_BuiltIn_Print_Area_8">#REF!</definedName>
    <definedName name="gn" localSheetId="3">Регулятор!$B$43</definedName>
    <definedName name="gn">'[1]Регулятор давления'!$B$43</definedName>
    <definedName name="P_1" localSheetId="3">Регулятор!$F$10</definedName>
    <definedName name="P_1">'[1]Регулятор давления'!$F$10</definedName>
    <definedName name="P_1кг" localSheetId="3">Регулятор!$B$38</definedName>
    <definedName name="P_1кг">'[1]Регулятор давления'!$B$38</definedName>
    <definedName name="P_2" localSheetId="3">Регулятор!$F$12</definedName>
    <definedName name="P_2">'[1]Регулятор давления'!$F$12</definedName>
    <definedName name="P_2кг" localSheetId="3">Регулятор!$B$39</definedName>
    <definedName name="P_2кг">'[1]Регулятор давления'!$B$39</definedName>
    <definedName name="Print_Area" localSheetId="1">'Исходные данные'!$A$1:$AH$42</definedName>
    <definedName name="Print_Area" localSheetId="4">'Тепл баланс'!$A$1:$F$21</definedName>
    <definedName name="Print_Area_0" localSheetId="4">'Тепл баланс'!$A$1:$F$21</definedName>
    <definedName name="Print_Area_0_0" localSheetId="4">'Тепл баланс'!$A$1:$F$21</definedName>
    <definedName name="Print_Area_0_0_0" localSheetId="4">'Тепл баланс'!$A$1:$F$21</definedName>
    <definedName name="Print_Area_0_0_0_0" localSheetId="4">'Тепл баланс'!$A$1:$F$21</definedName>
    <definedName name="Qmax" localSheetId="3">Регулятор!$F$5</definedName>
    <definedName name="Qmax">'[1]Регулятор давления'!$F$5</definedName>
    <definedName name="Qmin" localSheetId="3">Регулятор!$F$8</definedName>
    <definedName name="Qmin">'[1]Регулятор давления'!$F$8</definedName>
    <definedName name="t" localSheetId="3">Регулятор!$F$14</definedName>
    <definedName name="t">'[1]Регулятор давления'!$F$14</definedName>
    <definedName name="T_1" localSheetId="3">Регулятор!$B$42</definedName>
    <definedName name="T_1">'[1]Регулятор давления'!$B$42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7" l="1"/>
  <c r="F24" i="3"/>
  <c r="F5" i="3"/>
  <c r="F4" i="3"/>
  <c r="F10" i="2"/>
  <c r="F9" i="2"/>
  <c r="F16" i="2" s="1"/>
  <c r="F15" i="2" s="1"/>
  <c r="F8" i="2"/>
  <c r="O5" i="11" l="1"/>
  <c r="O4" i="11"/>
  <c r="F5" i="11"/>
  <c r="F4" i="11"/>
  <c r="C76" i="11"/>
  <c r="D76" i="11" s="1"/>
  <c r="C75" i="11"/>
  <c r="D75" i="11" s="1"/>
  <c r="Q75" i="11" s="1"/>
  <c r="C74" i="11"/>
  <c r="D74" i="11" s="1"/>
  <c r="C73" i="11"/>
  <c r="D73" i="11" s="1"/>
  <c r="Q73" i="11" s="1"/>
  <c r="C72" i="11"/>
  <c r="D72" i="11" s="1"/>
  <c r="M72" i="11" s="1"/>
  <c r="C71" i="11"/>
  <c r="D71" i="11" s="1"/>
  <c r="C70" i="11"/>
  <c r="D70" i="11" s="1"/>
  <c r="C69" i="11"/>
  <c r="D69" i="11" s="1"/>
  <c r="C68" i="11"/>
  <c r="D68" i="11" s="1"/>
  <c r="U68" i="11" s="1"/>
  <c r="C67" i="11"/>
  <c r="D67" i="11" s="1"/>
  <c r="C66" i="11"/>
  <c r="D66" i="11" s="1"/>
  <c r="C65" i="11"/>
  <c r="D65" i="11" s="1"/>
  <c r="O65" i="11" s="1"/>
  <c r="C64" i="11"/>
  <c r="D64" i="11" s="1"/>
  <c r="U64" i="11" s="1"/>
  <c r="C63" i="11"/>
  <c r="D63" i="11" s="1"/>
  <c r="C62" i="11"/>
  <c r="D62" i="11" s="1"/>
  <c r="C61" i="11"/>
  <c r="D61" i="11" s="1"/>
  <c r="C60" i="11"/>
  <c r="D60" i="11" s="1"/>
  <c r="C59" i="11"/>
  <c r="D59" i="11" s="1"/>
  <c r="C58" i="11"/>
  <c r="D58" i="11" s="1"/>
  <c r="C57" i="11"/>
  <c r="D57" i="11" s="1"/>
  <c r="M57" i="11" s="1"/>
  <c r="C56" i="11"/>
  <c r="D56" i="11" s="1"/>
  <c r="U56" i="11" s="1"/>
  <c r="C55" i="11"/>
  <c r="D55" i="11" s="1"/>
  <c r="C54" i="11"/>
  <c r="D54" i="11" s="1"/>
  <c r="C53" i="11"/>
  <c r="D53" i="11" s="1"/>
  <c r="C52" i="11"/>
  <c r="D52" i="11" s="1"/>
  <c r="C51" i="11"/>
  <c r="D51" i="11" s="1"/>
  <c r="Q51" i="11" s="1"/>
  <c r="C50" i="11"/>
  <c r="D50" i="11" s="1"/>
  <c r="C49" i="11"/>
  <c r="D49" i="11" s="1"/>
  <c r="M49" i="11" s="1"/>
  <c r="C48" i="11"/>
  <c r="D48" i="11" s="1"/>
  <c r="U48" i="11" s="1"/>
  <c r="C47" i="11"/>
  <c r="D47" i="11" s="1"/>
  <c r="J5" i="11"/>
  <c r="J6" i="11" s="1"/>
  <c r="J7" i="11" s="1"/>
  <c r="J8" i="11" s="1"/>
  <c r="J9" i="11" s="1"/>
  <c r="J10" i="11" s="1"/>
  <c r="J11" i="11" s="1"/>
  <c r="J12" i="11" s="1"/>
  <c r="J13" i="11" s="1"/>
  <c r="J14" i="11" s="1"/>
  <c r="J15" i="11" s="1"/>
  <c r="J16" i="11" s="1"/>
  <c r="J17" i="11" s="1"/>
  <c r="J18" i="11" s="1"/>
  <c r="J19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J36" i="11" s="1"/>
  <c r="J37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O5" i="3"/>
  <c r="U73" i="11" l="1"/>
  <c r="S65" i="11"/>
  <c r="Q57" i="11"/>
  <c r="S57" i="11"/>
  <c r="U57" i="11"/>
  <c r="Q65" i="11"/>
  <c r="U65" i="11"/>
  <c r="M64" i="11"/>
  <c r="O72" i="11"/>
  <c r="O49" i="11"/>
  <c r="O64" i="11"/>
  <c r="Q72" i="11"/>
  <c r="Q49" i="11"/>
  <c r="Q64" i="11"/>
  <c r="S72" i="11"/>
  <c r="S49" i="11"/>
  <c r="S64" i="11"/>
  <c r="U72" i="11"/>
  <c r="U49" i="11"/>
  <c r="O57" i="11"/>
  <c r="S73" i="11"/>
  <c r="U74" i="11"/>
  <c r="S74" i="11"/>
  <c r="M74" i="11"/>
  <c r="Q74" i="11"/>
  <c r="O74" i="11"/>
  <c r="U58" i="11"/>
  <c r="O58" i="11"/>
  <c r="S58" i="11"/>
  <c r="Q58" i="11"/>
  <c r="M58" i="11"/>
  <c r="U66" i="11"/>
  <c r="Q66" i="11"/>
  <c r="M66" i="11"/>
  <c r="O66" i="11"/>
  <c r="S66" i="11"/>
  <c r="U50" i="11"/>
  <c r="O50" i="11"/>
  <c r="M50" i="11"/>
  <c r="Q50" i="11"/>
  <c r="S50" i="11"/>
  <c r="M48" i="11"/>
  <c r="O75" i="11"/>
  <c r="O56" i="11"/>
  <c r="Q48" i="11"/>
  <c r="S48" i="11"/>
  <c r="S56" i="11"/>
  <c r="M65" i="11"/>
  <c r="O73" i="11"/>
  <c r="M56" i="11"/>
  <c r="O48" i="11"/>
  <c r="Q56" i="11"/>
  <c r="M73" i="11"/>
  <c r="S52" i="11"/>
  <c r="Q52" i="11"/>
  <c r="O52" i="11"/>
  <c r="M52" i="11"/>
  <c r="U52" i="11"/>
  <c r="Q61" i="11"/>
  <c r="O61" i="11"/>
  <c r="U61" i="11"/>
  <c r="S61" i="11"/>
  <c r="M61" i="11"/>
  <c r="O70" i="11"/>
  <c r="M70" i="11"/>
  <c r="S70" i="11"/>
  <c r="Q70" i="11"/>
  <c r="U70" i="11"/>
  <c r="Q53" i="11"/>
  <c r="O53" i="11"/>
  <c r="U53" i="11"/>
  <c r="S53" i="11"/>
  <c r="M53" i="11"/>
  <c r="O62" i="11"/>
  <c r="M62" i="11"/>
  <c r="U62" i="11"/>
  <c r="S62" i="11"/>
  <c r="Q62" i="11"/>
  <c r="M71" i="11"/>
  <c r="U71" i="11"/>
  <c r="S71" i="11"/>
  <c r="O71" i="11"/>
  <c r="Q71" i="11"/>
  <c r="O54" i="11"/>
  <c r="M54" i="11"/>
  <c r="U54" i="11"/>
  <c r="S54" i="11"/>
  <c r="Q54" i="11"/>
  <c r="M63" i="11"/>
  <c r="U63" i="11"/>
  <c r="O63" i="11"/>
  <c r="S63" i="11"/>
  <c r="Q63" i="11"/>
  <c r="M55" i="11"/>
  <c r="U55" i="11"/>
  <c r="S55" i="11"/>
  <c r="Q55" i="11"/>
  <c r="O55" i="11"/>
  <c r="S60" i="11"/>
  <c r="Q60" i="11"/>
  <c r="O60" i="11"/>
  <c r="M60" i="11"/>
  <c r="U60" i="11"/>
  <c r="Q69" i="11"/>
  <c r="O69" i="11"/>
  <c r="U69" i="11"/>
  <c r="S69" i="11"/>
  <c r="M69" i="11"/>
  <c r="M47" i="11"/>
  <c r="U47" i="11"/>
  <c r="Q47" i="11"/>
  <c r="S47" i="11"/>
  <c r="S76" i="11"/>
  <c r="Q76" i="11"/>
  <c r="O76" i="11"/>
  <c r="M76" i="11"/>
  <c r="U67" i="11"/>
  <c r="S67" i="11"/>
  <c r="M67" i="11"/>
  <c r="U76" i="11"/>
  <c r="U59" i="11"/>
  <c r="S59" i="11"/>
  <c r="M59" i="11"/>
  <c r="O67" i="11"/>
  <c r="U51" i="11"/>
  <c r="S51" i="11"/>
  <c r="M51" i="11"/>
  <c r="O59" i="11"/>
  <c r="Q67" i="11"/>
  <c r="D77" i="11"/>
  <c r="S68" i="11"/>
  <c r="Q68" i="11"/>
  <c r="O68" i="11"/>
  <c r="M68" i="11"/>
  <c r="O47" i="11"/>
  <c r="O51" i="11"/>
  <c r="Q59" i="11"/>
  <c r="U75" i="11"/>
  <c r="S75" i="11"/>
  <c r="M75" i="11"/>
  <c r="O77" i="11" l="1"/>
  <c r="M77" i="11"/>
  <c r="S77" i="11"/>
  <c r="U77" i="11"/>
  <c r="Q77" i="11"/>
  <c r="O8" i="11" l="1"/>
  <c r="F8" i="11"/>
  <c r="O12" i="11"/>
  <c r="O13" i="11" s="1"/>
  <c r="F12" i="11"/>
  <c r="F13" i="11" s="1"/>
  <c r="E57" i="11"/>
  <c r="X57" i="11" s="1"/>
  <c r="E59" i="11"/>
  <c r="X59" i="11" s="1"/>
  <c r="E73" i="11"/>
  <c r="X73" i="11" s="1"/>
  <c r="E48" i="11"/>
  <c r="X48" i="11" s="1"/>
  <c r="E64" i="11"/>
  <c r="X64" i="11" s="1"/>
  <c r="E72" i="11"/>
  <c r="X72" i="11" s="1"/>
  <c r="E53" i="11"/>
  <c r="X53" i="11" s="1"/>
  <c r="E65" i="11"/>
  <c r="X65" i="11" s="1"/>
  <c r="E75" i="11"/>
  <c r="X75" i="11" s="1"/>
  <c r="E70" i="11"/>
  <c r="X70" i="11" s="1"/>
  <c r="E54" i="11"/>
  <c r="X54" i="11" s="1"/>
  <c r="E50" i="11"/>
  <c r="X50" i="11" s="1"/>
  <c r="E52" i="11"/>
  <c r="X52" i="11" s="1"/>
  <c r="E58" i="11"/>
  <c r="X58" i="11" s="1"/>
  <c r="E47" i="11"/>
  <c r="E68" i="11"/>
  <c r="X68" i="11" s="1"/>
  <c r="E71" i="11"/>
  <c r="X71" i="11" s="1"/>
  <c r="E49" i="11"/>
  <c r="X49" i="11" s="1"/>
  <c r="E55" i="11"/>
  <c r="X55" i="11" s="1"/>
  <c r="E60" i="11"/>
  <c r="X60" i="11" s="1"/>
  <c r="E69" i="11"/>
  <c r="X69" i="11" s="1"/>
  <c r="E56" i="11"/>
  <c r="X56" i="11" s="1"/>
  <c r="E61" i="11"/>
  <c r="X61" i="11" s="1"/>
  <c r="E67" i="11"/>
  <c r="X67" i="11" s="1"/>
  <c r="E62" i="11"/>
  <c r="X62" i="11" s="1"/>
  <c r="E63" i="11"/>
  <c r="X63" i="11" s="1"/>
  <c r="E51" i="11"/>
  <c r="X51" i="11" s="1"/>
  <c r="E66" i="11"/>
  <c r="X66" i="11" s="1"/>
  <c r="E76" i="11"/>
  <c r="X76" i="11" s="1"/>
  <c r="E74" i="11"/>
  <c r="X74" i="11" s="1"/>
  <c r="O15" i="11"/>
  <c r="O17" i="11" s="1"/>
  <c r="F15" i="11"/>
  <c r="F17" i="11" s="1"/>
  <c r="O14" i="11"/>
  <c r="O16" i="11" s="1"/>
  <c r="F14" i="11"/>
  <c r="F16" i="11" s="1"/>
  <c r="O36" i="11" l="1"/>
  <c r="O32" i="11"/>
  <c r="O30" i="11"/>
  <c r="O26" i="11"/>
  <c r="O24" i="11"/>
  <c r="O20" i="11"/>
  <c r="O18" i="11"/>
  <c r="O21" i="11"/>
  <c r="O31" i="11"/>
  <c r="O35" i="11"/>
  <c r="O37" i="11" s="1"/>
  <c r="O9" i="11" s="1"/>
  <c r="O25" i="11"/>
  <c r="O33" i="11"/>
  <c r="O27" i="11"/>
  <c r="O19" i="11"/>
  <c r="X47" i="11"/>
  <c r="X77" i="11" s="1"/>
  <c r="E77" i="11"/>
  <c r="F35" i="11"/>
  <c r="F32" i="11"/>
  <c r="F27" i="11"/>
  <c r="F24" i="11"/>
  <c r="F26" i="11"/>
  <c r="F21" i="11"/>
  <c r="F19" i="11"/>
  <c r="F25" i="11"/>
  <c r="F20" i="11"/>
  <c r="F36" i="11"/>
  <c r="F18" i="11"/>
  <c r="F33" i="11"/>
  <c r="F31" i="11"/>
  <c r="F30" i="11"/>
  <c r="O22" i="11" l="1"/>
  <c r="O23" i="11" s="1"/>
  <c r="G8" i="8" s="1"/>
  <c r="F34" i="11"/>
  <c r="F22" i="11"/>
  <c r="F23" i="11" s="1"/>
  <c r="G7" i="8" s="1"/>
  <c r="F28" i="11"/>
  <c r="F37" i="11"/>
  <c r="F9" i="11" s="1"/>
  <c r="O28" i="11"/>
  <c r="O29" i="11" s="1"/>
  <c r="O34" i="11"/>
  <c r="F29" i="11" l="1"/>
  <c r="G4" i="8" l="1"/>
  <c r="C47" i="3" l="1"/>
  <c r="D47" i="3" s="1"/>
  <c r="M47" i="3" l="1"/>
  <c r="O47" i="3"/>
  <c r="U47" i="3"/>
  <c r="S47" i="3"/>
  <c r="Q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D73" i="3" s="1"/>
  <c r="C74" i="3"/>
  <c r="C75" i="3"/>
  <c r="C76" i="3"/>
  <c r="B4" i="8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G5" i="8"/>
  <c r="G10" i="8"/>
  <c r="G12" i="8" s="1"/>
  <c r="G18" i="8"/>
  <c r="G25" i="8"/>
  <c r="G29" i="8"/>
  <c r="A7" i="7"/>
  <c r="A8" i="7" s="1"/>
  <c r="A9" i="7" s="1"/>
  <c r="A10" i="7" s="1"/>
  <c r="A11" i="7" s="1"/>
  <c r="A12" i="7" s="1"/>
  <c r="A13" i="7" s="1"/>
  <c r="A14" i="7" s="1"/>
  <c r="A17" i="7" s="1"/>
  <c r="H7" i="7"/>
  <c r="H8" i="7" s="1"/>
  <c r="F13" i="7"/>
  <c r="B38" i="5" l="1"/>
  <c r="B39" i="5"/>
  <c r="B40" i="5"/>
  <c r="B41" i="5"/>
  <c r="B42" i="5"/>
  <c r="B37" i="5" l="1"/>
  <c r="B44" i="5"/>
  <c r="K22" i="5" l="1"/>
  <c r="E22" i="5"/>
  <c r="O4" i="3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J5" i="3"/>
  <c r="J6" i="3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D48" i="3"/>
  <c r="M48" i="3" s="1"/>
  <c r="D49" i="3"/>
  <c r="U49" i="3" s="1"/>
  <c r="D50" i="3"/>
  <c r="D51" i="3"/>
  <c r="U51" i="3" s="1"/>
  <c r="D52" i="3"/>
  <c r="S52" i="3" s="1"/>
  <c r="D53" i="3"/>
  <c r="S53" i="3" s="1"/>
  <c r="D54" i="3"/>
  <c r="D55" i="3"/>
  <c r="U55" i="3" s="1"/>
  <c r="D56" i="3"/>
  <c r="S56" i="3" s="1"/>
  <c r="D57" i="3"/>
  <c r="S57" i="3" s="1"/>
  <c r="D58" i="3"/>
  <c r="S58" i="3" s="1"/>
  <c r="D59" i="3"/>
  <c r="U59" i="3" s="1"/>
  <c r="S59" i="3"/>
  <c r="D60" i="3"/>
  <c r="D61" i="3"/>
  <c r="U61" i="3" s="1"/>
  <c r="D62" i="3"/>
  <c r="S62" i="3" s="1"/>
  <c r="D63" i="3"/>
  <c r="D64" i="3"/>
  <c r="U64" i="3" s="1"/>
  <c r="D65" i="3"/>
  <c r="U65" i="3" s="1"/>
  <c r="D66" i="3"/>
  <c r="S66" i="3" s="1"/>
  <c r="D67" i="3"/>
  <c r="S67" i="3" s="1"/>
  <c r="D68" i="3"/>
  <c r="S68" i="3" s="1"/>
  <c r="D69" i="3"/>
  <c r="S69" i="3" s="1"/>
  <c r="D70" i="3"/>
  <c r="S70" i="3" s="1"/>
  <c r="D71" i="3"/>
  <c r="U71" i="3" s="1"/>
  <c r="D72" i="3"/>
  <c r="U72" i="3" s="1"/>
  <c r="S73" i="3"/>
  <c r="U73" i="3"/>
  <c r="D74" i="3"/>
  <c r="S74" i="3" s="1"/>
  <c r="D75" i="3"/>
  <c r="U75" i="3" s="1"/>
  <c r="D76" i="3"/>
  <c r="U76" i="3" s="1"/>
  <c r="S64" i="3" l="1"/>
  <c r="U54" i="3"/>
  <c r="S61" i="3"/>
  <c r="S54" i="3"/>
  <c r="S72" i="3"/>
  <c r="S65" i="3"/>
  <c r="S75" i="3"/>
  <c r="U53" i="3"/>
  <c r="U67" i="3"/>
  <c r="U57" i="3"/>
  <c r="U70" i="3"/>
  <c r="U56" i="3"/>
  <c r="U69" i="3"/>
  <c r="U62" i="3"/>
  <c r="D77" i="3"/>
  <c r="M76" i="3"/>
  <c r="O76" i="3"/>
  <c r="Q76" i="3"/>
  <c r="M60" i="3"/>
  <c r="O60" i="3"/>
  <c r="Q60" i="3"/>
  <c r="M63" i="3"/>
  <c r="Q63" i="3"/>
  <c r="O63" i="3"/>
  <c r="M50" i="3"/>
  <c r="Q50" i="3"/>
  <c r="O50" i="3"/>
  <c r="M74" i="3"/>
  <c r="O74" i="3"/>
  <c r="Q74" i="3"/>
  <c r="M58" i="3"/>
  <c r="O58" i="3"/>
  <c r="Q58" i="3"/>
  <c r="M61" i="3"/>
  <c r="Q61" i="3"/>
  <c r="O61" i="3"/>
  <c r="M72" i="3"/>
  <c r="O72" i="3"/>
  <c r="Q72" i="3"/>
  <c r="M51" i="3"/>
  <c r="O51" i="3"/>
  <c r="Q51" i="3"/>
  <c r="S51" i="3"/>
  <c r="M75" i="3"/>
  <c r="O75" i="3"/>
  <c r="Q75" i="3"/>
  <c r="U68" i="3"/>
  <c r="S76" i="3"/>
  <c r="M62" i="3"/>
  <c r="O62" i="3"/>
  <c r="Q62" i="3"/>
  <c r="M68" i="3"/>
  <c r="O68" i="3"/>
  <c r="Q68" i="3"/>
  <c r="M52" i="3"/>
  <c r="O52" i="3"/>
  <c r="Q52" i="3"/>
  <c r="M71" i="3"/>
  <c r="O71" i="3"/>
  <c r="Q71" i="3"/>
  <c r="M55" i="3"/>
  <c r="Q55" i="3"/>
  <c r="O55" i="3"/>
  <c r="Q48" i="3"/>
  <c r="S48" i="3"/>
  <c r="O48" i="3"/>
  <c r="M66" i="3"/>
  <c r="O66" i="3"/>
  <c r="Q66" i="3"/>
  <c r="M69" i="3"/>
  <c r="O69" i="3"/>
  <c r="Q69" i="3"/>
  <c r="M53" i="3"/>
  <c r="Q53" i="3"/>
  <c r="O53" i="3"/>
  <c r="M64" i="3"/>
  <c r="O64" i="3"/>
  <c r="Q64" i="3"/>
  <c r="M56" i="3"/>
  <c r="O56" i="3"/>
  <c r="Q56" i="3"/>
  <c r="M67" i="3"/>
  <c r="O67" i="3"/>
  <c r="Q67" i="3"/>
  <c r="U60" i="3"/>
  <c r="M59" i="3"/>
  <c r="Q59" i="3"/>
  <c r="O59" i="3"/>
  <c r="U52" i="3"/>
  <c r="M49" i="3"/>
  <c r="O49" i="3"/>
  <c r="Q49" i="3"/>
  <c r="S49" i="3"/>
  <c r="M70" i="3"/>
  <c r="O70" i="3"/>
  <c r="Q70" i="3"/>
  <c r="U63" i="3"/>
  <c r="S60" i="3"/>
  <c r="M54" i="3"/>
  <c r="O54" i="3"/>
  <c r="Q54" i="3"/>
  <c r="U50" i="3"/>
  <c r="U74" i="3"/>
  <c r="M73" i="3"/>
  <c r="O73" i="3"/>
  <c r="Q73" i="3"/>
  <c r="S71" i="3"/>
  <c r="U66" i="3"/>
  <c r="M65" i="3"/>
  <c r="Q65" i="3"/>
  <c r="O65" i="3"/>
  <c r="S63" i="3"/>
  <c r="U58" i="3"/>
  <c r="M57" i="3"/>
  <c r="Q57" i="3"/>
  <c r="O57" i="3"/>
  <c r="S55" i="3"/>
  <c r="S50" i="3"/>
  <c r="U48" i="3"/>
  <c r="U77" i="3" s="1"/>
  <c r="F8" i="3" s="1"/>
  <c r="S77" i="3" l="1"/>
  <c r="Q77" i="3"/>
  <c r="F12" i="3" s="1"/>
  <c r="F13" i="3" s="1"/>
  <c r="O77" i="3"/>
  <c r="F14" i="3" s="1"/>
  <c r="M77" i="3"/>
  <c r="E47" i="3" l="1"/>
  <c r="X47" i="3" s="1"/>
  <c r="E54" i="3"/>
  <c r="F15" i="3"/>
  <c r="F17" i="3" s="1"/>
  <c r="O15" i="3"/>
  <c r="O17" i="3" s="1"/>
  <c r="O14" i="3"/>
  <c r="O16" i="3" s="1"/>
  <c r="F16" i="3"/>
  <c r="O8" i="3"/>
  <c r="E65" i="3"/>
  <c r="X65" i="3" s="1"/>
  <c r="E73" i="3"/>
  <c r="X73" i="3" s="1"/>
  <c r="E70" i="3"/>
  <c r="X70" i="3" s="1"/>
  <c r="E49" i="3"/>
  <c r="X49" i="3" s="1"/>
  <c r="E59" i="3"/>
  <c r="X59" i="3" s="1"/>
  <c r="E67" i="3"/>
  <c r="X67" i="3" s="1"/>
  <c r="E56" i="3"/>
  <c r="X56" i="3" s="1"/>
  <c r="E72" i="3"/>
  <c r="X72" i="3" s="1"/>
  <c r="E53" i="3"/>
  <c r="X53" i="3" s="1"/>
  <c r="E69" i="3"/>
  <c r="X69" i="3" s="1"/>
  <c r="E58" i="3"/>
  <c r="X58" i="3" s="1"/>
  <c r="E74" i="3"/>
  <c r="X74" i="3" s="1"/>
  <c r="E48" i="3"/>
  <c r="X48" i="3" s="1"/>
  <c r="E55" i="3"/>
  <c r="X55" i="3" s="1"/>
  <c r="E71" i="3"/>
  <c r="X71" i="3" s="1"/>
  <c r="E57" i="3"/>
  <c r="X57" i="3" s="1"/>
  <c r="X54" i="3"/>
  <c r="E62" i="3"/>
  <c r="X62" i="3" s="1"/>
  <c r="E75" i="3"/>
  <c r="X75" i="3" s="1"/>
  <c r="E51" i="3"/>
  <c r="X51" i="3" s="1"/>
  <c r="E64" i="3"/>
  <c r="X64" i="3" s="1"/>
  <c r="E61" i="3"/>
  <c r="X61" i="3" s="1"/>
  <c r="E66" i="3"/>
  <c r="X66" i="3" s="1"/>
  <c r="E50" i="3"/>
  <c r="X50" i="3" s="1"/>
  <c r="E63" i="3"/>
  <c r="X63" i="3" s="1"/>
  <c r="E52" i="3"/>
  <c r="X52" i="3" s="1"/>
  <c r="E68" i="3"/>
  <c r="X68" i="3" s="1"/>
  <c r="E76" i="3"/>
  <c r="X76" i="3" s="1"/>
  <c r="E60" i="3"/>
  <c r="X60" i="3" s="1"/>
  <c r="O12" i="3"/>
  <c r="O13" i="3" s="1"/>
  <c r="F20" i="3" l="1"/>
  <c r="F35" i="3"/>
  <c r="F33" i="3"/>
  <c r="F30" i="3"/>
  <c r="F16" i="5"/>
  <c r="B43" i="5" s="1"/>
  <c r="E31" i="5"/>
  <c r="K31" i="5"/>
  <c r="I11" i="5"/>
  <c r="X77" i="3"/>
  <c r="E77" i="3"/>
  <c r="O18" i="3"/>
  <c r="O20" i="3"/>
  <c r="O24" i="3"/>
  <c r="O26" i="3"/>
  <c r="O30" i="3"/>
  <c r="O32" i="3"/>
  <c r="O36" i="3"/>
  <c r="O25" i="3"/>
  <c r="O19" i="3"/>
  <c r="O27" i="3"/>
  <c r="O35" i="3"/>
  <c r="O21" i="3"/>
  <c r="O33" i="3"/>
  <c r="O31" i="3"/>
  <c r="F19" i="3"/>
  <c r="F27" i="3"/>
  <c r="F31" i="3"/>
  <c r="F21" i="3"/>
  <c r="F25" i="3"/>
  <c r="F18" i="3"/>
  <c r="F26" i="3"/>
  <c r="F32" i="3"/>
  <c r="F36" i="3"/>
  <c r="F34" i="3" l="1"/>
  <c r="F37" i="3"/>
  <c r="F9" i="3" s="1"/>
  <c r="F28" i="3"/>
  <c r="O37" i="3"/>
  <c r="O9" i="3" s="1"/>
  <c r="O34" i="3"/>
  <c r="H16" i="7" s="1"/>
  <c r="F22" i="3"/>
  <c r="F23" i="3" s="1"/>
  <c r="F14" i="2"/>
  <c r="F5" i="2" s="1"/>
  <c r="O22" i="3"/>
  <c r="O23" i="3" s="1"/>
  <c r="O28" i="3"/>
  <c r="F29" i="3" l="1"/>
  <c r="G6" i="8"/>
  <c r="G9" i="8" s="1"/>
  <c r="F13" i="2"/>
  <c r="O29" i="3"/>
  <c r="F15" i="7" l="1"/>
  <c r="F16" i="7" s="1"/>
  <c r="G15" i="8"/>
  <c r="G19" i="8" s="1"/>
  <c r="F17" i="7"/>
  <c r="G22" i="8" l="1"/>
  <c r="G30" i="8" l="1"/>
  <c r="G26" i="8"/>
</calcChain>
</file>

<file path=xl/sharedStrings.xml><?xml version="1.0" encoding="utf-8"?>
<sst xmlns="http://schemas.openxmlformats.org/spreadsheetml/2006/main" count="1125" uniqueCount="361">
  <si>
    <t xml:space="preserve">Исходные данные для расчета </t>
  </si>
  <si>
    <t>Наименование</t>
  </si>
  <si>
    <t>Формула</t>
  </si>
  <si>
    <t xml:space="preserve">% Содержание </t>
  </si>
  <si>
    <t>Метан</t>
  </si>
  <si>
    <t>СН4</t>
  </si>
  <si>
    <t>Этан</t>
  </si>
  <si>
    <t>С2Н6</t>
  </si>
  <si>
    <t>Пропан</t>
  </si>
  <si>
    <t>С3Н8</t>
  </si>
  <si>
    <t>н-Бутан</t>
  </si>
  <si>
    <t>н-С4Н10</t>
  </si>
  <si>
    <t>и-Бутан</t>
  </si>
  <si>
    <t>и-С4Н10</t>
  </si>
  <si>
    <t>н-Пентан</t>
  </si>
  <si>
    <t>н-С5Н12</t>
  </si>
  <si>
    <t>и-Пентан</t>
  </si>
  <si>
    <t>и-С5Н12</t>
  </si>
  <si>
    <t>н-Гексан</t>
  </si>
  <si>
    <t>н-С6Н14</t>
  </si>
  <si>
    <t>н-Гептан</t>
  </si>
  <si>
    <t>н-С7Н16</t>
  </si>
  <si>
    <t>н-Октан</t>
  </si>
  <si>
    <t>н-С8Н18</t>
  </si>
  <si>
    <t>Ацетилен</t>
  </si>
  <si>
    <t>С2Н2</t>
  </si>
  <si>
    <t>Этилен</t>
  </si>
  <si>
    <t>С2Н4</t>
  </si>
  <si>
    <t>Пропилен</t>
  </si>
  <si>
    <t>С3Н6</t>
  </si>
  <si>
    <t>Бензол</t>
  </si>
  <si>
    <t>С6Н6</t>
  </si>
  <si>
    <t>Толуол</t>
  </si>
  <si>
    <t>С7Н8</t>
  </si>
  <si>
    <t>Водород</t>
  </si>
  <si>
    <t>Н2</t>
  </si>
  <si>
    <t>Водяной пар</t>
  </si>
  <si>
    <t>Н2О</t>
  </si>
  <si>
    <t>Аммиак</t>
  </si>
  <si>
    <t>Н3N</t>
  </si>
  <si>
    <t>Метанол</t>
  </si>
  <si>
    <t>СН3ОН</t>
  </si>
  <si>
    <t>Сероводород</t>
  </si>
  <si>
    <t>Н2S</t>
  </si>
  <si>
    <t>Метилмеркаптан</t>
  </si>
  <si>
    <t>СН3SН</t>
  </si>
  <si>
    <t>Диоксид серы</t>
  </si>
  <si>
    <t>SО2</t>
  </si>
  <si>
    <t>Гелий</t>
  </si>
  <si>
    <t>Не</t>
  </si>
  <si>
    <t>Неон</t>
  </si>
  <si>
    <t>Nе</t>
  </si>
  <si>
    <t>Аргон</t>
  </si>
  <si>
    <t>Аr</t>
  </si>
  <si>
    <t>Моноксид углерода</t>
  </si>
  <si>
    <t>СО</t>
  </si>
  <si>
    <t>Азот</t>
  </si>
  <si>
    <t>N2</t>
  </si>
  <si>
    <t>Воздух</t>
  </si>
  <si>
    <t>Кислород</t>
  </si>
  <si>
    <t>О2</t>
  </si>
  <si>
    <t>Диоксид углерода</t>
  </si>
  <si>
    <t>СО2</t>
  </si>
  <si>
    <t>Температура газа на входе в ГРС</t>
  </si>
  <si>
    <t>Температура газа на выходе из ГРС</t>
  </si>
  <si>
    <t>Температура газа перед регулятором</t>
  </si>
  <si>
    <t>Количество линий</t>
  </si>
  <si>
    <t>Таблица2</t>
  </si>
  <si>
    <t>Диаметр трубы, мм</t>
  </si>
  <si>
    <t>Толщина стенки трубы, мм</t>
  </si>
  <si>
    <t>Внутренний диаметр трубы, мм</t>
  </si>
  <si>
    <r>
      <t>Площадь проходного сечения трубы , м</t>
    </r>
    <r>
      <rPr>
        <vertAlign val="superscript"/>
        <sz val="10"/>
        <rFont val="Arial"/>
        <family val="2"/>
        <charset val="204"/>
      </rPr>
      <t>2</t>
    </r>
  </si>
  <si>
    <r>
      <t>Давление подогреваемого газа Р</t>
    </r>
    <r>
      <rPr>
        <vertAlign val="subscript"/>
        <sz val="10"/>
        <rFont val="Arial"/>
        <family val="2"/>
        <charset val="204"/>
      </rPr>
      <t>г</t>
    </r>
    <r>
      <rPr>
        <sz val="11"/>
        <color theme="1"/>
        <rFont val="Calibri"/>
        <family val="2"/>
        <scheme val="minor"/>
      </rPr>
      <t>, кгс/см</t>
    </r>
    <r>
      <rPr>
        <vertAlign val="superscript"/>
        <sz val="10"/>
        <rFont val="Arial"/>
        <family val="2"/>
        <charset val="204"/>
      </rPr>
      <t>2</t>
    </r>
  </si>
  <si>
    <r>
      <t>Давление подогреваемого газа Р</t>
    </r>
    <r>
      <rPr>
        <vertAlign val="subscript"/>
        <sz val="10"/>
        <rFont val="Arial"/>
        <family val="2"/>
        <charset val="204"/>
      </rPr>
      <t>г</t>
    </r>
    <r>
      <rPr>
        <sz val="11"/>
        <color theme="1"/>
        <rFont val="Calibri"/>
        <family val="2"/>
        <scheme val="minor"/>
      </rPr>
      <t>, МПа</t>
    </r>
  </si>
  <si>
    <r>
      <t>Температура газа t</t>
    </r>
    <r>
      <rPr>
        <vertAlign val="subscript"/>
        <sz val="10"/>
        <rFont val="Arial"/>
        <family val="2"/>
        <charset val="204"/>
      </rPr>
      <t>ср</t>
    </r>
    <r>
      <rPr>
        <sz val="11"/>
        <color theme="1"/>
        <rFont val="Calibri"/>
        <family val="2"/>
        <scheme val="minor"/>
      </rPr>
      <t>,</t>
    </r>
    <r>
      <rPr>
        <vertAlign val="superscript"/>
        <sz val="10"/>
        <rFont val="Arial"/>
        <family val="2"/>
        <charset val="204"/>
      </rPr>
      <t>0</t>
    </r>
    <r>
      <rPr>
        <sz val="11"/>
        <color theme="1"/>
        <rFont val="Calibri"/>
        <family val="2"/>
        <scheme val="minor"/>
      </rPr>
      <t>С</t>
    </r>
  </si>
  <si>
    <r>
      <t>Плотность газа, кг/м</t>
    </r>
    <r>
      <rPr>
        <vertAlign val="superscript"/>
        <sz val="10"/>
        <rFont val="Arial"/>
        <family val="2"/>
        <charset val="204"/>
      </rPr>
      <t>3</t>
    </r>
  </si>
  <si>
    <t>Коэффициент сжимаемости Z</t>
  </si>
  <si>
    <r>
      <t>Рабочий объем газа V</t>
    </r>
    <r>
      <rPr>
        <vertAlign val="subscript"/>
        <sz val="10"/>
        <rFont val="Arial"/>
        <family val="2"/>
        <charset val="204"/>
      </rPr>
      <t>р</t>
    </r>
    <r>
      <rPr>
        <sz val="11"/>
        <color theme="1"/>
        <rFont val="Calibri"/>
        <family val="2"/>
        <scheme val="minor"/>
      </rPr>
      <t>, м</t>
    </r>
    <r>
      <rPr>
        <vertAlign val="superscript"/>
        <sz val="10"/>
        <rFont val="Arial"/>
        <family val="2"/>
        <charset val="204"/>
      </rPr>
      <t>3</t>
    </r>
    <r>
      <rPr>
        <sz val="11"/>
        <color theme="1"/>
        <rFont val="Calibri"/>
        <family val="2"/>
        <scheme val="minor"/>
      </rPr>
      <t>/ч</t>
    </r>
  </si>
  <si>
    <r>
      <t>Рабочий объем газа V</t>
    </r>
    <r>
      <rPr>
        <vertAlign val="subscript"/>
        <sz val="10"/>
        <rFont val="Arial"/>
        <family val="2"/>
        <charset val="204"/>
      </rPr>
      <t>р</t>
    </r>
    <r>
      <rPr>
        <sz val="11"/>
        <color theme="1"/>
        <rFont val="Calibri"/>
        <family val="2"/>
        <scheme val="minor"/>
      </rPr>
      <t>, м</t>
    </r>
    <r>
      <rPr>
        <vertAlign val="superscript"/>
        <sz val="10"/>
        <rFont val="Arial"/>
        <family val="2"/>
        <charset val="204"/>
      </rPr>
      <t>3</t>
    </r>
    <r>
      <rPr>
        <sz val="11"/>
        <color theme="1"/>
        <rFont val="Calibri"/>
        <family val="2"/>
        <scheme val="minor"/>
      </rPr>
      <t>/с</t>
    </r>
  </si>
  <si>
    <r>
      <t>Скорость движения W</t>
    </r>
    <r>
      <rPr>
        <vertAlign val="subscript"/>
        <sz val="10"/>
        <rFont val="Arial"/>
        <family val="2"/>
        <charset val="204"/>
      </rPr>
      <t>г</t>
    </r>
    <r>
      <rPr>
        <sz val="11"/>
        <color theme="1"/>
        <rFont val="Calibri"/>
        <family val="2"/>
        <scheme val="minor"/>
      </rPr>
      <t>трубе, м/с</t>
    </r>
  </si>
  <si>
    <t>Максимально допустимая скорость, м/с</t>
  </si>
  <si>
    <t>Расход</t>
  </si>
  <si>
    <t>М</t>
  </si>
  <si>
    <t>Рпк</t>
  </si>
  <si>
    <t>Тпк</t>
  </si>
  <si>
    <t>ri/Zci</t>
  </si>
  <si>
    <t>Xi/Zci</t>
  </si>
  <si>
    <t>хi×Мi</t>
  </si>
  <si>
    <t>хi×Ркрi</t>
  </si>
  <si>
    <t>хi×Tкрi</t>
  </si>
  <si>
    <r>
      <t>Темп. кипения</t>
    </r>
    <r>
      <rPr>
        <i/>
        <sz val="12"/>
        <rFont val="Times New Roman"/>
        <family val="1"/>
        <charset val="204"/>
      </rPr>
      <t>Tоi</t>
    </r>
    <r>
      <rPr>
        <sz val="12"/>
        <rFont val="Times New Roman"/>
        <family val="1"/>
        <charset val="204"/>
      </rPr>
      <t>, К</t>
    </r>
  </si>
  <si>
    <r>
      <t>Крит. давл.</t>
    </r>
    <r>
      <rPr>
        <i/>
        <sz val="12"/>
        <rFont val="Times New Roman"/>
        <family val="1"/>
        <charset val="204"/>
      </rPr>
      <t>Pкрi</t>
    </r>
    <r>
      <rPr>
        <sz val="12"/>
        <rFont val="Times New Roman"/>
        <family val="1"/>
        <charset val="204"/>
      </rPr>
      <t>, МПа</t>
    </r>
  </si>
  <si>
    <r>
      <t>Крит. темп.</t>
    </r>
    <r>
      <rPr>
        <i/>
        <sz val="12"/>
        <rFont val="Times New Roman"/>
        <family val="1"/>
        <charset val="204"/>
      </rPr>
      <t>Tкрi</t>
    </r>
    <r>
      <rPr>
        <sz val="12"/>
        <rFont val="Times New Roman"/>
        <family val="1"/>
        <charset val="204"/>
      </rPr>
      <t>, К</t>
    </r>
  </si>
  <si>
    <r>
      <t>Плотность</t>
    </r>
    <r>
      <rPr>
        <i/>
        <sz val="12"/>
        <rFont val="Times New Roman"/>
        <family val="1"/>
        <charset val="204"/>
      </rPr>
      <t>ρi</t>
    </r>
    <r>
      <rPr>
        <sz val="12"/>
        <rFont val="Times New Roman"/>
        <family val="1"/>
        <charset val="204"/>
      </rPr>
      <t>, кг/куб.м</t>
    </r>
  </si>
  <si>
    <r>
      <t>Моляр. масса</t>
    </r>
    <r>
      <rPr>
        <i/>
        <sz val="16"/>
        <rFont val="Times New Roman"/>
        <family val="1"/>
        <charset val="204"/>
      </rPr>
      <t>Мi</t>
    </r>
    <r>
      <rPr>
        <sz val="16"/>
        <rFont val="Times New Roman"/>
        <family val="1"/>
        <charset val="204"/>
      </rPr>
      <t>, кг/моль</t>
    </r>
  </si>
  <si>
    <t>Фактор сжимаемости Zci</t>
  </si>
  <si>
    <r>
      <t>Объемная доля r</t>
    </r>
    <r>
      <rPr>
        <i/>
        <vertAlign val="subscript"/>
        <sz val="16"/>
        <rFont val="Times New Roman"/>
        <family val="1"/>
        <charset val="204"/>
      </rPr>
      <t>i</t>
    </r>
  </si>
  <si>
    <r>
      <t>Молярная доля</t>
    </r>
    <r>
      <rPr>
        <i/>
        <sz val="16"/>
        <rFont val="Times New Roman"/>
        <family val="1"/>
        <charset val="204"/>
      </rPr>
      <t>хi</t>
    </r>
  </si>
  <si>
    <t>Исходные данные (табл.1 ГОСТ 30319.1-96)</t>
  </si>
  <si>
    <t>-</t>
  </si>
  <si>
    <t>Z</t>
  </si>
  <si>
    <t>Коэффициент сжимаемости</t>
  </si>
  <si>
    <r>
      <t>А</t>
    </r>
    <r>
      <rPr>
        <vertAlign val="subscript"/>
        <sz val="10"/>
        <rFont val="Arial"/>
        <family val="2"/>
        <charset val="204"/>
      </rPr>
      <t>2</t>
    </r>
  </si>
  <si>
    <t>Параметр</t>
  </si>
  <si>
    <r>
      <t>А</t>
    </r>
    <r>
      <rPr>
        <vertAlign val="subscript"/>
        <sz val="10"/>
        <rFont val="Arial"/>
        <family val="2"/>
        <charset val="204"/>
      </rPr>
      <t>1</t>
    </r>
  </si>
  <si>
    <t>К/МПа</t>
  </si>
  <si>
    <r>
      <t>D</t>
    </r>
    <r>
      <rPr>
        <vertAlign val="subscript"/>
        <sz val="14"/>
        <rFont val="Times New Roman"/>
        <family val="1"/>
        <charset val="204"/>
      </rPr>
      <t>i</t>
    </r>
  </si>
  <si>
    <t>Среднее значение коэффициента Джоуля-Томсона</t>
  </si>
  <si>
    <r>
      <t>Н</t>
    </r>
    <r>
      <rPr>
        <vertAlign val="subscript"/>
        <sz val="10"/>
        <rFont val="Arial"/>
        <family val="2"/>
        <charset val="204"/>
      </rPr>
      <t>3</t>
    </r>
  </si>
  <si>
    <r>
      <t>Н</t>
    </r>
    <r>
      <rPr>
        <vertAlign val="subscript"/>
        <sz val="10"/>
        <rFont val="Arial"/>
        <family val="2"/>
        <charset val="204"/>
      </rPr>
      <t>2</t>
    </r>
  </si>
  <si>
    <r>
      <t>Н</t>
    </r>
    <r>
      <rPr>
        <vertAlign val="subscript"/>
        <sz val="10"/>
        <rFont val="Arial"/>
        <family val="2"/>
        <charset val="204"/>
      </rPr>
      <t>1</t>
    </r>
  </si>
  <si>
    <r>
      <t>Н</t>
    </r>
    <r>
      <rPr>
        <vertAlign val="subscript"/>
        <sz val="10"/>
        <rFont val="Arial"/>
        <family val="2"/>
        <charset val="204"/>
      </rPr>
      <t>0</t>
    </r>
  </si>
  <si>
    <r>
      <t>μ/ρ</t>
    </r>
    <r>
      <rPr>
        <vertAlign val="subscript"/>
        <sz val="16"/>
        <rFont val="Arial"/>
        <family val="2"/>
        <charset val="204"/>
      </rPr>
      <t>раб</t>
    </r>
  </si>
  <si>
    <r>
      <t>м</t>
    </r>
    <r>
      <rPr>
        <vertAlign val="superscript"/>
        <sz val="14"/>
        <rFont val="Arial"/>
        <family val="2"/>
        <charset val="204"/>
      </rPr>
      <t>2</t>
    </r>
    <r>
      <rPr>
        <sz val="14"/>
        <rFont val="Arial"/>
        <family val="2"/>
        <charset val="204"/>
      </rPr>
      <t>/с</t>
    </r>
  </si>
  <si>
    <t>ν</t>
  </si>
  <si>
    <t>Кинематическая вязкость</t>
  </si>
  <si>
    <t>Па∙с</t>
  </si>
  <si>
    <t>μ</t>
  </si>
  <si>
    <t>Динамическая вязкость</t>
  </si>
  <si>
    <r>
      <t>B</t>
    </r>
    <r>
      <rPr>
        <vertAlign val="subscript"/>
        <sz val="10"/>
        <rFont val="Arial"/>
        <family val="2"/>
        <charset val="204"/>
      </rPr>
      <t>3</t>
    </r>
  </si>
  <si>
    <r>
      <t>B</t>
    </r>
    <r>
      <rPr>
        <vertAlign val="subscript"/>
        <sz val="10"/>
        <rFont val="Arial"/>
        <family val="2"/>
        <charset val="204"/>
      </rPr>
      <t>2</t>
    </r>
  </si>
  <si>
    <r>
      <t>B</t>
    </r>
    <r>
      <rPr>
        <vertAlign val="subscript"/>
        <sz val="10"/>
        <rFont val="Arial"/>
        <family val="2"/>
        <charset val="204"/>
      </rPr>
      <t>1</t>
    </r>
  </si>
  <si>
    <r>
      <t>μ</t>
    </r>
    <r>
      <rPr>
        <vertAlign val="subscript"/>
        <sz val="10"/>
        <rFont val="Arial"/>
        <family val="2"/>
        <charset val="204"/>
      </rPr>
      <t>0</t>
    </r>
  </si>
  <si>
    <r>
      <t>ккал/(нм</t>
    </r>
    <r>
      <rPr>
        <vertAlign val="superscript"/>
        <sz val="14"/>
        <rFont val="Arial"/>
        <family val="2"/>
        <charset val="204"/>
      </rPr>
      <t>3</t>
    </r>
    <r>
      <rPr>
        <sz val="14"/>
        <rFont val="Arial"/>
        <family val="2"/>
        <charset val="204"/>
      </rPr>
      <t>К)</t>
    </r>
  </si>
  <si>
    <r>
      <t>С</t>
    </r>
    <r>
      <rPr>
        <vertAlign val="subscript"/>
        <sz val="14"/>
        <rFont val="Times New Roman"/>
        <family val="1"/>
        <charset val="204"/>
      </rPr>
      <t>р</t>
    </r>
  </si>
  <si>
    <t>Средняя изобарная теплоемкость</t>
  </si>
  <si>
    <t>кДж/(кг К)</t>
  </si>
  <si>
    <r>
      <t>Е</t>
    </r>
    <r>
      <rPr>
        <vertAlign val="subscript"/>
        <sz val="14"/>
        <rFont val="Times New Roman"/>
        <family val="1"/>
        <charset val="204"/>
      </rPr>
      <t>3</t>
    </r>
  </si>
  <si>
    <r>
      <t>Е</t>
    </r>
    <r>
      <rPr>
        <vertAlign val="subscript"/>
        <sz val="14"/>
        <rFont val="Times New Roman"/>
        <family val="1"/>
        <charset val="204"/>
      </rPr>
      <t>2</t>
    </r>
  </si>
  <si>
    <r>
      <t>Е</t>
    </r>
    <r>
      <rPr>
        <vertAlign val="subscript"/>
        <sz val="14"/>
        <rFont val="Times New Roman"/>
        <family val="1"/>
        <charset val="204"/>
      </rPr>
      <t>1</t>
    </r>
  </si>
  <si>
    <r>
      <t>Е</t>
    </r>
    <r>
      <rPr>
        <vertAlign val="subscript"/>
        <sz val="14"/>
        <rFont val="Times New Roman"/>
        <family val="1"/>
        <charset val="204"/>
      </rPr>
      <t>0</t>
    </r>
  </si>
  <si>
    <r>
      <t>Т</t>
    </r>
    <r>
      <rPr>
        <vertAlign val="subscript"/>
        <sz val="14"/>
        <rFont val="Times New Roman"/>
        <family val="1"/>
        <charset val="204"/>
      </rPr>
      <t>пр</t>
    </r>
  </si>
  <si>
    <r>
      <t>Р</t>
    </r>
    <r>
      <rPr>
        <vertAlign val="subscript"/>
        <sz val="14"/>
        <rFont val="Times New Roman"/>
        <family val="1"/>
        <charset val="204"/>
      </rPr>
      <t>пр</t>
    </r>
  </si>
  <si>
    <r>
      <t>Т</t>
    </r>
    <r>
      <rPr>
        <vertAlign val="subscript"/>
        <sz val="14"/>
        <rFont val="Times New Roman"/>
        <family val="1"/>
        <charset val="204"/>
      </rPr>
      <t>пк</t>
    </r>
  </si>
  <si>
    <t>Псевдокритическая температура</t>
  </si>
  <si>
    <r>
      <t>Р</t>
    </r>
    <r>
      <rPr>
        <vertAlign val="subscript"/>
        <sz val="14"/>
        <rFont val="Times New Roman"/>
        <family val="1"/>
        <charset val="204"/>
      </rPr>
      <t>пк</t>
    </r>
  </si>
  <si>
    <t>Псевдокритическое давление</t>
  </si>
  <si>
    <t>R</t>
  </si>
  <si>
    <t>кг/кмоль</t>
  </si>
  <si>
    <t>Молярная масса природного газа</t>
  </si>
  <si>
    <r>
      <t>ρ</t>
    </r>
    <r>
      <rPr>
        <vertAlign val="subscript"/>
        <sz val="14"/>
        <rFont val="Times New Roman"/>
        <family val="1"/>
        <charset val="204"/>
      </rPr>
      <t>c</t>
    </r>
    <r>
      <rPr>
        <sz val="14"/>
        <rFont val="Times New Roman"/>
        <family val="1"/>
        <charset val="204"/>
      </rPr>
      <t>∙(p/p</t>
    </r>
    <r>
      <rPr>
        <vertAlign val="subscript"/>
        <sz val="14"/>
        <rFont val="Times New Roman"/>
        <family val="1"/>
        <charset val="204"/>
      </rPr>
      <t>c</t>
    </r>
    <r>
      <rPr>
        <sz val="14"/>
        <rFont val="Times New Roman"/>
        <family val="1"/>
        <charset val="204"/>
      </rPr>
      <t>)∙(T</t>
    </r>
    <r>
      <rPr>
        <vertAlign val="subscript"/>
        <sz val="14"/>
        <rFont val="Times New Roman"/>
        <family val="1"/>
        <charset val="204"/>
      </rPr>
      <t>c</t>
    </r>
    <r>
      <rPr>
        <sz val="14"/>
        <rFont val="Times New Roman"/>
        <family val="1"/>
        <charset val="204"/>
      </rPr>
      <t>/T)∙1/Z</t>
    </r>
  </si>
  <si>
    <r>
      <t>кг/м</t>
    </r>
    <r>
      <rPr>
        <vertAlign val="superscript"/>
        <sz val="14"/>
        <rFont val="Times New Roman"/>
        <family val="1"/>
        <charset val="204"/>
      </rPr>
      <t>3</t>
    </r>
  </si>
  <si>
    <r>
      <t>ρ</t>
    </r>
    <r>
      <rPr>
        <vertAlign val="subscript"/>
        <sz val="10"/>
        <rFont val="Arial"/>
        <family val="2"/>
        <charset val="204"/>
      </rPr>
      <t>раб</t>
    </r>
  </si>
  <si>
    <t>Плотность смеси газа при рабочих условиях</t>
  </si>
  <si>
    <r>
      <t>ρ</t>
    </r>
    <r>
      <rPr>
        <vertAlign val="subscript"/>
        <sz val="10"/>
        <rFont val="Arial"/>
        <family val="2"/>
        <charset val="204"/>
      </rPr>
      <t>c</t>
    </r>
  </si>
  <si>
    <t>Плотность газа при стандартных условиях</t>
  </si>
  <si>
    <t>Задано</t>
  </si>
  <si>
    <r>
      <t>ρ</t>
    </r>
    <r>
      <rPr>
        <vertAlign val="subscript"/>
        <sz val="10"/>
        <rFont val="Arial"/>
        <family val="2"/>
        <charset val="204"/>
      </rPr>
      <t>сi</t>
    </r>
  </si>
  <si>
    <t>Плотность компонентов природного газа</t>
  </si>
  <si>
    <r>
      <t>r</t>
    </r>
    <r>
      <rPr>
        <vertAlign val="subscript"/>
        <sz val="10"/>
        <rFont val="Arial"/>
        <family val="2"/>
        <charset val="204"/>
      </rPr>
      <t>i</t>
    </r>
  </si>
  <si>
    <t>Объемная доля компонентов природного газа</t>
  </si>
  <si>
    <r>
      <t>0</t>
    </r>
    <r>
      <rPr>
        <sz val="14"/>
        <rFont val="Arial"/>
        <family val="2"/>
        <charset val="204"/>
      </rPr>
      <t>C</t>
    </r>
  </si>
  <si>
    <r>
      <t>t</t>
    </r>
    <r>
      <rPr>
        <vertAlign val="subscript"/>
        <sz val="14"/>
        <rFont val="Times New Roman"/>
        <family val="1"/>
        <charset val="204"/>
      </rPr>
      <t>вх</t>
    </r>
  </si>
  <si>
    <t>МПа</t>
  </si>
  <si>
    <r>
      <t>Р</t>
    </r>
    <r>
      <rPr>
        <vertAlign val="subscript"/>
        <sz val="10"/>
        <rFont val="Arial"/>
        <family val="2"/>
        <charset val="204"/>
      </rPr>
      <t>вх</t>
    </r>
  </si>
  <si>
    <t>Давление газа на входе в ГРС</t>
  </si>
  <si>
    <t>Результат</t>
  </si>
  <si>
    <t>Ед.изм</t>
  </si>
  <si>
    <t>Усл.обозн</t>
  </si>
  <si>
    <t>Название</t>
  </si>
  <si>
    <t>Расчет теплофизических свойств природного газа</t>
  </si>
  <si>
    <t>-поправочный коэффициент на сжимаемость газа.</t>
  </si>
  <si>
    <t>E=</t>
  </si>
  <si>
    <t>-удельный вес газа при нормальных условиях (при 0);</t>
  </si>
  <si>
    <r>
      <t>кг/м</t>
    </r>
    <r>
      <rPr>
        <vertAlign val="superscript"/>
        <sz val="10"/>
        <rFont val="Arial Cyr"/>
        <family val="2"/>
        <charset val="204"/>
      </rPr>
      <t>3</t>
    </r>
  </si>
  <si>
    <r>
      <t>g</t>
    </r>
    <r>
      <rPr>
        <vertAlign val="subscript"/>
        <sz val="10"/>
        <rFont val="Arial Cyr"/>
        <family val="2"/>
        <charset val="204"/>
      </rPr>
      <t>n</t>
    </r>
    <r>
      <rPr>
        <sz val="11"/>
        <color theme="1"/>
        <rFont val="Calibri"/>
        <family val="2"/>
        <scheme val="minor"/>
      </rPr>
      <t>=</t>
    </r>
  </si>
  <si>
    <t>-рабочая температура перед регулятором;</t>
  </si>
  <si>
    <r>
      <t>°</t>
    </r>
    <r>
      <rPr>
        <sz val="11"/>
        <color theme="1"/>
        <rFont val="Calibri"/>
        <family val="2"/>
        <scheme val="minor"/>
      </rPr>
      <t>K</t>
    </r>
  </si>
  <si>
    <r>
      <t>T</t>
    </r>
    <r>
      <rPr>
        <vertAlign val="subscript"/>
        <sz val="10"/>
        <rFont val="Arial Cyr"/>
        <family val="2"/>
        <charset val="204"/>
      </rPr>
      <t>1</t>
    </r>
    <r>
      <rPr>
        <sz val="11"/>
        <color theme="1"/>
        <rFont val="Calibri"/>
        <family val="2"/>
        <scheme val="minor"/>
      </rPr>
      <t>=</t>
    </r>
  </si>
  <si>
    <t>-минимальный расход газа,приведенный к нормальным условиям;</t>
  </si>
  <si>
    <r>
      <t>м</t>
    </r>
    <r>
      <rPr>
        <vertAlign val="superscript"/>
        <sz val="10"/>
        <rFont val="Arial Cyr"/>
        <family val="2"/>
        <charset val="204"/>
      </rPr>
      <t>3</t>
    </r>
    <r>
      <rPr>
        <sz val="11"/>
        <color theme="1"/>
        <rFont val="Calibri"/>
        <family val="2"/>
        <scheme val="minor"/>
      </rPr>
      <t>/час</t>
    </r>
  </si>
  <si>
    <r>
      <t>Q</t>
    </r>
    <r>
      <rPr>
        <vertAlign val="subscript"/>
        <sz val="10"/>
        <rFont val="Arial Cyr"/>
        <family val="2"/>
        <charset val="204"/>
      </rPr>
      <t>min</t>
    </r>
    <r>
      <rPr>
        <sz val="11"/>
        <color theme="1"/>
        <rFont val="Calibri"/>
        <family val="2"/>
        <scheme val="minor"/>
      </rPr>
      <t>=</t>
    </r>
  </si>
  <si>
    <t>-максимальный расход газа,приведенный к нормальным условиям;</t>
  </si>
  <si>
    <r>
      <t>Q</t>
    </r>
    <r>
      <rPr>
        <vertAlign val="subscript"/>
        <sz val="10"/>
        <rFont val="Arial Cyr"/>
        <family val="2"/>
        <charset val="204"/>
      </rPr>
      <t>max</t>
    </r>
    <r>
      <rPr>
        <sz val="11"/>
        <color theme="1"/>
        <rFont val="Calibri"/>
        <family val="2"/>
        <scheme val="minor"/>
      </rPr>
      <t>=</t>
    </r>
  </si>
  <si>
    <t>газпроммаш</t>
  </si>
  <si>
    <t>149-BV</t>
  </si>
  <si>
    <t>- абс. давление газа на выходе из регулятора;</t>
  </si>
  <si>
    <r>
      <t>кгс/см</t>
    </r>
    <r>
      <rPr>
        <vertAlign val="superscript"/>
        <sz val="10"/>
        <rFont val="Arial Cyr"/>
        <family val="2"/>
        <charset val="204"/>
      </rPr>
      <t>2</t>
    </r>
  </si>
  <si>
    <r>
      <t>P</t>
    </r>
    <r>
      <rPr>
        <vertAlign val="subscript"/>
        <sz val="10"/>
        <rFont val="Arial Cyr"/>
        <family val="2"/>
        <charset val="204"/>
      </rPr>
      <t>2</t>
    </r>
    <r>
      <rPr>
        <sz val="11"/>
        <color theme="1"/>
        <rFont val="Calibri"/>
        <family val="2"/>
        <scheme val="minor"/>
      </rPr>
      <t>=</t>
    </r>
  </si>
  <si>
    <t>- абс. давление газа на входе в регулятор;</t>
  </si>
  <si>
    <r>
      <t>P</t>
    </r>
    <r>
      <rPr>
        <vertAlign val="subscript"/>
        <sz val="10"/>
        <rFont val="Arial Cyr"/>
        <family val="2"/>
        <charset val="204"/>
      </rPr>
      <t>1</t>
    </r>
    <r>
      <rPr>
        <sz val="11"/>
        <color theme="1"/>
        <rFont val="Calibri"/>
        <family val="2"/>
        <scheme val="minor"/>
      </rPr>
      <t>=</t>
    </r>
  </si>
  <si>
    <t>-перепад давления на  регулирующем органе регулятора;</t>
  </si>
  <si>
    <r>
      <t>D</t>
    </r>
    <r>
      <rPr>
        <sz val="11"/>
        <color theme="1"/>
        <rFont val="Calibri"/>
        <family val="2"/>
        <scheme val="minor"/>
      </rPr>
      <t>P=P</t>
    </r>
    <r>
      <rPr>
        <vertAlign val="subscript"/>
        <sz val="10"/>
        <rFont val="Arial Cyr"/>
        <family val="2"/>
        <charset val="204"/>
      </rPr>
      <t>1</t>
    </r>
    <r>
      <rPr>
        <sz val="11"/>
        <color theme="1"/>
        <rFont val="Calibri"/>
        <family val="2"/>
        <scheme val="minor"/>
      </rPr>
      <t>-P</t>
    </r>
    <r>
      <rPr>
        <vertAlign val="subscript"/>
        <sz val="10"/>
        <rFont val="Arial Cyr"/>
        <family val="2"/>
        <charset val="204"/>
      </rPr>
      <t>2</t>
    </r>
    <r>
      <rPr>
        <sz val="11"/>
        <color theme="1"/>
        <rFont val="Calibri"/>
        <family val="2"/>
        <scheme val="minor"/>
      </rPr>
      <t>=</t>
    </r>
  </si>
  <si>
    <t>где:</t>
  </si>
  <si>
    <t>1,2(6)</t>
  </si>
  <si>
    <t>150/300</t>
  </si>
  <si>
    <t>ЛОРД-150</t>
  </si>
  <si>
    <t>1.2(6)</t>
  </si>
  <si>
    <t>100/250</t>
  </si>
  <si>
    <t>ЛОРД-100</t>
  </si>
  <si>
    <t>50/100</t>
  </si>
  <si>
    <t>ЛОРД-50</t>
  </si>
  <si>
    <t>РДУ-80-150</t>
  </si>
  <si>
    <t>РДУ-80-100</t>
  </si>
  <si>
    <t>т/ч</t>
  </si>
  <si>
    <t>РДУ-80-80</t>
  </si>
  <si>
    <t>РДУ-80-50</t>
  </si>
  <si>
    <t>РДУ-80-25</t>
  </si>
  <si>
    <r>
      <t>Для критического и сверхкритического режимов истечения, когда Р</t>
    </r>
    <r>
      <rPr>
        <vertAlign val="subscript"/>
        <sz val="10"/>
        <rFont val="Arial Cyr"/>
        <family val="2"/>
        <charset val="204"/>
      </rPr>
      <t>2</t>
    </r>
    <r>
      <rPr>
        <sz val="10"/>
        <rFont val="Symbol"/>
        <family val="1"/>
        <charset val="2"/>
      </rPr>
      <t>Ј</t>
    </r>
    <r>
      <rPr>
        <sz val="11"/>
        <color theme="1"/>
        <rFont val="Calibri"/>
        <family val="2"/>
        <scheme val="minor"/>
      </rPr>
      <t>0,5P</t>
    </r>
    <r>
      <rPr>
        <vertAlign val="subscript"/>
        <sz val="10"/>
        <rFont val="Arial Cyr"/>
        <family val="2"/>
        <charset val="204"/>
      </rPr>
      <t>1</t>
    </r>
  </si>
  <si>
    <t>РДУ-80-15</t>
  </si>
  <si>
    <t>РД</t>
  </si>
  <si>
    <r>
      <t>Для докритического режима истечения, когда Р</t>
    </r>
    <r>
      <rPr>
        <vertAlign val="subscript"/>
        <sz val="10"/>
        <rFont val="Arial Cyr"/>
        <family val="2"/>
        <charset val="204"/>
      </rPr>
      <t>2</t>
    </r>
    <r>
      <rPr>
        <sz val="11"/>
        <color theme="1"/>
        <rFont val="Calibri"/>
        <family val="2"/>
        <scheme val="minor"/>
      </rPr>
      <t>&gt;0,5P</t>
    </r>
    <r>
      <rPr>
        <vertAlign val="subscript"/>
        <sz val="10"/>
        <rFont val="Arial Cyr"/>
        <family val="2"/>
        <charset val="204"/>
      </rPr>
      <t>1</t>
    </r>
  </si>
  <si>
    <t>D=</t>
  </si>
  <si>
    <t>Относительная плотность газа</t>
  </si>
  <si>
    <t>o</t>
  </si>
  <si>
    <t>t=</t>
  </si>
  <si>
    <t>Давление газа на выходе из регулятора</t>
  </si>
  <si>
    <t>Для любого режима обратный расчет</t>
  </si>
  <si>
    <t>РДЭ</t>
  </si>
  <si>
    <t>Давление газа на входе в регулятор</t>
  </si>
  <si>
    <t>ГПМ-КП</t>
  </si>
  <si>
    <t>приведенный к нормальным условиям</t>
  </si>
  <si>
    <t>Минимальный расход газа</t>
  </si>
  <si>
    <t>Kv=</t>
  </si>
  <si>
    <t>Рн,МПа</t>
  </si>
  <si>
    <t>Рв,МПа</t>
  </si>
  <si>
    <t>Кv, т/ч</t>
  </si>
  <si>
    <t>Ру, МПа</t>
  </si>
  <si>
    <t>Ду, мм</t>
  </si>
  <si>
    <t>Тип рег.</t>
  </si>
  <si>
    <t>Максимальный расход газа</t>
  </si>
  <si>
    <t>расчетные данные</t>
  </si>
  <si>
    <t>исходные данные для расчета</t>
  </si>
  <si>
    <r>
      <t>м</t>
    </r>
    <r>
      <rPr>
        <vertAlign val="superscript"/>
        <sz val="14"/>
        <color rgb="FF000000"/>
        <rFont val="Arial"/>
        <family val="2"/>
        <charset val="204"/>
      </rPr>
      <t>3</t>
    </r>
    <r>
      <rPr>
        <sz val="14"/>
        <color rgb="FF000000"/>
        <rFont val="Arial"/>
        <family val="2"/>
        <charset val="204"/>
      </rPr>
      <t>/ч</t>
    </r>
  </si>
  <si>
    <r>
      <t>G</t>
    </r>
    <r>
      <rPr>
        <vertAlign val="subscript"/>
        <sz val="10"/>
        <rFont val="Arial"/>
        <family val="2"/>
        <charset val="204"/>
      </rPr>
      <t>точ2</t>
    </r>
  </si>
  <si>
    <t>Расход теплоносителя</t>
  </si>
  <si>
    <t>кВт</t>
  </si>
  <si>
    <t>Q расход</t>
  </si>
  <si>
    <t>Q квт</t>
  </si>
  <si>
    <t>Гкал/ч</t>
  </si>
  <si>
    <r>
      <t>Q</t>
    </r>
    <r>
      <rPr>
        <vertAlign val="subscript"/>
        <sz val="14"/>
        <rFont val="Arial"/>
        <family val="2"/>
        <charset val="204"/>
      </rPr>
      <t>п</t>
    </r>
  </si>
  <si>
    <t>Полезная тепловая мощность на технологические нужды</t>
  </si>
  <si>
    <r>
      <t>δ</t>
    </r>
    <r>
      <rPr>
        <i/>
        <vertAlign val="subscript"/>
        <sz val="14"/>
        <rFont val="Arial"/>
        <family val="2"/>
        <charset val="204"/>
      </rPr>
      <t>эг</t>
    </r>
  </si>
  <si>
    <t>Массовая доля этиленгликоля</t>
  </si>
  <si>
    <r>
      <t>δ</t>
    </r>
    <r>
      <rPr>
        <i/>
        <vertAlign val="subscript"/>
        <sz val="14"/>
        <rFont val="Arial"/>
        <family val="2"/>
        <charset val="204"/>
      </rPr>
      <t>воды</t>
    </r>
  </si>
  <si>
    <t>Массовая доля воды</t>
  </si>
  <si>
    <r>
      <t>0</t>
    </r>
    <r>
      <rPr>
        <i/>
        <sz val="14"/>
        <rFont val="Arial"/>
        <family val="2"/>
        <charset val="204"/>
      </rPr>
      <t>С</t>
    </r>
  </si>
  <si>
    <r>
      <t>t</t>
    </r>
    <r>
      <rPr>
        <i/>
        <vertAlign val="subscript"/>
        <sz val="14"/>
        <rFont val="Arial"/>
        <family val="2"/>
        <charset val="204"/>
      </rPr>
      <t>вых,грс</t>
    </r>
  </si>
  <si>
    <r>
      <t>(t</t>
    </r>
    <r>
      <rPr>
        <i/>
        <vertAlign val="subscript"/>
        <sz val="14"/>
        <rFont val="Arial"/>
        <family val="2"/>
        <charset val="204"/>
      </rPr>
      <t>вых</t>
    </r>
    <r>
      <rPr>
        <i/>
        <sz val="14"/>
        <rFont val="Arial"/>
        <family val="2"/>
        <charset val="204"/>
      </rPr>
      <t>+(P</t>
    </r>
    <r>
      <rPr>
        <i/>
        <vertAlign val="subscript"/>
        <sz val="14"/>
        <rFont val="Arial"/>
        <family val="2"/>
        <charset val="204"/>
      </rPr>
      <t>вх</t>
    </r>
    <r>
      <rPr>
        <i/>
        <sz val="14"/>
        <rFont val="Arial"/>
        <family val="2"/>
        <charset val="204"/>
      </rPr>
      <t>-P</t>
    </r>
    <r>
      <rPr>
        <i/>
        <vertAlign val="subscript"/>
        <sz val="14"/>
        <rFont val="Arial"/>
        <family val="2"/>
        <charset val="204"/>
      </rPr>
      <t>вых</t>
    </r>
    <r>
      <rPr>
        <i/>
        <sz val="14"/>
        <rFont val="Arial"/>
        <family val="2"/>
        <charset val="204"/>
      </rPr>
      <t>)*D)</t>
    </r>
  </si>
  <si>
    <r>
      <t>t</t>
    </r>
    <r>
      <rPr>
        <i/>
        <vertAlign val="subscript"/>
        <sz val="14"/>
        <rFont val="Arial"/>
        <family val="2"/>
        <charset val="204"/>
      </rPr>
      <t>вых</t>
    </r>
  </si>
  <si>
    <t>Температура газа после теплообменника</t>
  </si>
  <si>
    <r>
      <t>t</t>
    </r>
    <r>
      <rPr>
        <i/>
        <vertAlign val="subscript"/>
        <sz val="14"/>
        <rFont val="Arial"/>
        <family val="2"/>
        <charset val="204"/>
      </rPr>
      <t>вх</t>
    </r>
  </si>
  <si>
    <r>
      <t>нм</t>
    </r>
    <r>
      <rPr>
        <i/>
        <vertAlign val="superscript"/>
        <sz val="14"/>
        <rFont val="Arial"/>
        <family val="2"/>
        <charset val="204"/>
      </rPr>
      <t>3</t>
    </r>
    <r>
      <rPr>
        <i/>
        <sz val="14"/>
        <rFont val="Arial"/>
        <family val="2"/>
        <charset val="204"/>
      </rPr>
      <t>/ч</t>
    </r>
  </si>
  <si>
    <r>
      <t>G</t>
    </r>
    <r>
      <rPr>
        <i/>
        <vertAlign val="subscript"/>
        <sz val="14"/>
        <rFont val="Arial"/>
        <family val="2"/>
        <charset val="204"/>
      </rPr>
      <t>г</t>
    </r>
  </si>
  <si>
    <t>Объем подогреваемого газа</t>
  </si>
  <si>
    <r>
      <t>Р</t>
    </r>
    <r>
      <rPr>
        <i/>
        <vertAlign val="subscript"/>
        <sz val="14"/>
        <rFont val="Arial"/>
        <family val="2"/>
        <charset val="204"/>
      </rPr>
      <t>вых</t>
    </r>
  </si>
  <si>
    <t>Давление газа на выходе из ГРС</t>
  </si>
  <si>
    <r>
      <t>Р</t>
    </r>
    <r>
      <rPr>
        <i/>
        <vertAlign val="subscript"/>
        <sz val="14"/>
        <rFont val="Arial"/>
        <family val="2"/>
        <charset val="204"/>
      </rPr>
      <t>вх</t>
    </r>
  </si>
  <si>
    <t>Тепловой расчет основных технологических параметров ГРС  (БПГ)</t>
  </si>
  <si>
    <t>N п/п</t>
  </si>
  <si>
    <t>м/с</t>
  </si>
  <si>
    <r>
      <t>W</t>
    </r>
    <r>
      <rPr>
        <vertAlign val="subscript"/>
        <sz val="14"/>
        <rFont val="Arial"/>
        <family val="2"/>
        <charset val="204"/>
      </rPr>
      <t>г</t>
    </r>
  </si>
  <si>
    <t>Скорость движения газа - на каждый котел</t>
  </si>
  <si>
    <r>
      <t>м</t>
    </r>
    <r>
      <rPr>
        <vertAlign val="superscript"/>
        <sz val="14"/>
        <rFont val="Arial"/>
        <family val="2"/>
        <charset val="204"/>
      </rPr>
      <t>2</t>
    </r>
  </si>
  <si>
    <t>Проходное сечение трубы (газ) - на каждый котел</t>
  </si>
  <si>
    <t>м</t>
  </si>
  <si>
    <t>δ</t>
  </si>
  <si>
    <t>Толщина трубы (газ) - на каждый котел</t>
  </si>
  <si>
    <t>d</t>
  </si>
  <si>
    <t>Диаметр трубы в котельной (газ) - на каждый котел</t>
  </si>
  <si>
    <t>Скорость движения газа - на общий расход</t>
  </si>
  <si>
    <t>Проходное сечение трубы (газ) - на общий расход</t>
  </si>
  <si>
    <t>Толщина трубы (газ)</t>
  </si>
  <si>
    <t>Диаметр трубы в котельной (газ) - на общий расход</t>
  </si>
  <si>
    <r>
      <t>м</t>
    </r>
    <r>
      <rPr>
        <vertAlign val="superscript"/>
        <sz val="14"/>
        <rFont val="Arial"/>
        <family val="2"/>
        <charset val="204"/>
      </rPr>
      <t>3</t>
    </r>
    <r>
      <rPr>
        <sz val="14"/>
        <rFont val="Arial"/>
        <family val="2"/>
        <charset val="204"/>
      </rPr>
      <t>/ч</t>
    </r>
  </si>
  <si>
    <t>Общий расход газа на котельную</t>
  </si>
  <si>
    <t>шт</t>
  </si>
  <si>
    <t>n</t>
  </si>
  <si>
    <t>Количество котлов</t>
  </si>
  <si>
    <t>η</t>
  </si>
  <si>
    <t>КПД газового котла</t>
  </si>
  <si>
    <r>
      <t>W</t>
    </r>
    <r>
      <rPr>
        <vertAlign val="subscript"/>
        <sz val="14"/>
        <rFont val="Arial"/>
        <family val="2"/>
        <charset val="204"/>
      </rPr>
      <t>т</t>
    </r>
  </si>
  <si>
    <t>Скорость движения теплоносителя</t>
  </si>
  <si>
    <t>Проходное сечение трубы (теплоноситель)</t>
  </si>
  <si>
    <t>Толщина трубы (теплоноситель)</t>
  </si>
  <si>
    <t>Диаметр трубы в котельной (теплоноситель)</t>
  </si>
  <si>
    <r>
      <t>G</t>
    </r>
    <r>
      <rPr>
        <vertAlign val="subscript"/>
        <sz val="10"/>
        <rFont val="Arial"/>
        <family val="2"/>
        <charset val="204"/>
      </rPr>
      <t>точ</t>
    </r>
    <r>
      <rPr>
        <sz val="14"/>
        <rFont val="Arial"/>
        <family val="2"/>
        <charset val="204"/>
      </rPr>
      <t>/3600</t>
    </r>
  </si>
  <si>
    <r>
      <t>м</t>
    </r>
    <r>
      <rPr>
        <vertAlign val="superscript"/>
        <sz val="14"/>
        <color rgb="FF000000"/>
        <rFont val="Arial"/>
        <family val="2"/>
        <charset val="204"/>
      </rPr>
      <t>3</t>
    </r>
    <r>
      <rPr>
        <sz val="14"/>
        <color rgb="FF000000"/>
        <rFont val="Arial"/>
        <family val="2"/>
        <charset val="204"/>
      </rPr>
      <t>/с</t>
    </r>
  </si>
  <si>
    <r>
      <t>G</t>
    </r>
    <r>
      <rPr>
        <vertAlign val="subscript"/>
        <sz val="10"/>
        <rFont val="Arial"/>
        <family val="2"/>
        <charset val="204"/>
      </rPr>
      <t>тос</t>
    </r>
  </si>
  <si>
    <t>Объемный секундный  расход теплоносителя</t>
  </si>
  <si>
    <r>
      <t>G</t>
    </r>
    <r>
      <rPr>
        <vertAlign val="subscript"/>
        <sz val="10"/>
        <rFont val="Arial"/>
        <family val="2"/>
        <charset val="204"/>
      </rPr>
      <t>тмч</t>
    </r>
    <r>
      <rPr>
        <sz val="11"/>
        <color theme="1"/>
        <rFont val="Calibri"/>
        <family val="2"/>
        <scheme val="minor"/>
      </rPr>
      <t>/ρ</t>
    </r>
    <r>
      <rPr>
        <vertAlign val="subscript"/>
        <sz val="10"/>
        <rFont val="Arial"/>
        <family val="2"/>
        <charset val="204"/>
      </rPr>
      <t>т</t>
    </r>
  </si>
  <si>
    <r>
      <t>G</t>
    </r>
    <r>
      <rPr>
        <vertAlign val="subscript"/>
        <sz val="10"/>
        <rFont val="Arial"/>
        <family val="2"/>
        <charset val="204"/>
      </rPr>
      <t>точ</t>
    </r>
  </si>
  <si>
    <t>Объемный часовой расход теплоносителя</t>
  </si>
  <si>
    <r>
      <t>Q</t>
    </r>
    <r>
      <rPr>
        <vertAlign val="subscript"/>
        <sz val="14"/>
        <rFont val="Arial"/>
        <family val="2"/>
        <charset val="204"/>
      </rPr>
      <t>п,общ</t>
    </r>
    <r>
      <rPr>
        <sz val="14"/>
        <rFont val="Arial"/>
        <family val="2"/>
        <charset val="204"/>
      </rPr>
      <t>/((t</t>
    </r>
    <r>
      <rPr>
        <vertAlign val="subscript"/>
        <sz val="14"/>
        <rFont val="Arial"/>
        <family val="2"/>
        <charset val="204"/>
      </rPr>
      <t>т,вых</t>
    </r>
    <r>
      <rPr>
        <sz val="14"/>
        <rFont val="Arial"/>
        <family val="2"/>
        <charset val="204"/>
      </rPr>
      <t>-t</t>
    </r>
    <r>
      <rPr>
        <vertAlign val="subscript"/>
        <sz val="14"/>
        <rFont val="Arial"/>
        <family val="2"/>
        <charset val="204"/>
      </rPr>
      <t>т,вх</t>
    </r>
    <r>
      <rPr>
        <sz val="14"/>
        <rFont val="Arial"/>
        <family val="2"/>
        <charset val="204"/>
      </rPr>
      <t>)С</t>
    </r>
    <r>
      <rPr>
        <vertAlign val="subscript"/>
        <sz val="14"/>
        <rFont val="Arial"/>
        <family val="2"/>
        <charset val="204"/>
      </rPr>
      <t>пт</t>
    </r>
    <r>
      <rPr>
        <sz val="14"/>
        <rFont val="Arial"/>
        <family val="2"/>
        <charset val="204"/>
      </rPr>
      <t>)</t>
    </r>
  </si>
  <si>
    <t>кг/ч</t>
  </si>
  <si>
    <r>
      <t>G</t>
    </r>
    <r>
      <rPr>
        <vertAlign val="subscript"/>
        <sz val="10"/>
        <rFont val="Arial"/>
        <family val="2"/>
        <charset val="204"/>
      </rPr>
      <t>тмч</t>
    </r>
  </si>
  <si>
    <t>Массовый часовой расход теплоносителя</t>
  </si>
  <si>
    <r>
      <t>t</t>
    </r>
    <r>
      <rPr>
        <vertAlign val="subscript"/>
        <sz val="10"/>
        <color rgb="FF000000"/>
        <rFont val="Arial"/>
        <family val="2"/>
        <charset val="204"/>
      </rPr>
      <t>т,вх</t>
    </r>
    <r>
      <rPr>
        <sz val="14"/>
        <rFont val="Arial"/>
        <family val="2"/>
        <charset val="204"/>
      </rPr>
      <t>+t</t>
    </r>
    <r>
      <rPr>
        <vertAlign val="subscript"/>
        <sz val="14"/>
        <color rgb="FF000000"/>
        <rFont val="Arial"/>
        <family val="2"/>
        <charset val="204"/>
      </rPr>
      <t>т,вых</t>
    </r>
  </si>
  <si>
    <r>
      <t>0</t>
    </r>
    <r>
      <rPr>
        <sz val="14"/>
        <color rgb="FF000000"/>
        <rFont val="Arial"/>
        <family val="2"/>
        <charset val="204"/>
      </rPr>
      <t>С</t>
    </r>
  </si>
  <si>
    <r>
      <t>t</t>
    </r>
    <r>
      <rPr>
        <b/>
        <vertAlign val="subscript"/>
        <sz val="12"/>
        <color rgb="FF000000"/>
        <rFont val="Arial"/>
        <family val="2"/>
        <charset val="204"/>
      </rPr>
      <t>т,ср</t>
    </r>
  </si>
  <si>
    <t>Средняя температура пром теплоносителя</t>
  </si>
  <si>
    <r>
      <t>t</t>
    </r>
    <r>
      <rPr>
        <vertAlign val="subscript"/>
        <sz val="10"/>
        <rFont val="Arial"/>
        <family val="2"/>
        <charset val="204"/>
      </rPr>
      <t>т,вых</t>
    </r>
  </si>
  <si>
    <t>Температура теплоносителя на выходе</t>
  </si>
  <si>
    <r>
      <t>t</t>
    </r>
    <r>
      <rPr>
        <vertAlign val="subscript"/>
        <sz val="10"/>
        <rFont val="Arial"/>
        <family val="2"/>
        <charset val="204"/>
      </rPr>
      <t>т,вх</t>
    </r>
  </si>
  <si>
    <t>Температура теплоносителя на входе</t>
  </si>
  <si>
    <r>
      <t>G</t>
    </r>
    <r>
      <rPr>
        <vertAlign val="subscript"/>
        <sz val="14"/>
        <rFont val="Arial"/>
        <family val="2"/>
        <charset val="204"/>
      </rPr>
      <t>г</t>
    </r>
    <r>
      <rPr>
        <sz val="14"/>
        <rFont val="Arial"/>
        <family val="2"/>
        <charset val="204"/>
      </rPr>
      <t>(t</t>
    </r>
    <r>
      <rPr>
        <vertAlign val="subscript"/>
        <sz val="14"/>
        <rFont val="Arial"/>
        <family val="2"/>
        <charset val="204"/>
      </rPr>
      <t>вых</t>
    </r>
    <r>
      <rPr>
        <sz val="14"/>
        <rFont val="Arial"/>
        <family val="2"/>
        <charset val="204"/>
      </rPr>
      <t>С</t>
    </r>
    <r>
      <rPr>
        <vertAlign val="subscript"/>
        <sz val="14"/>
        <rFont val="Arial"/>
        <family val="2"/>
        <charset val="204"/>
      </rPr>
      <t>вых</t>
    </r>
    <r>
      <rPr>
        <sz val="14"/>
        <rFont val="Arial"/>
        <family val="2"/>
        <charset val="204"/>
      </rPr>
      <t>- t</t>
    </r>
    <r>
      <rPr>
        <vertAlign val="subscript"/>
        <sz val="14"/>
        <rFont val="Arial"/>
        <family val="2"/>
        <charset val="204"/>
      </rPr>
      <t>вх</t>
    </r>
    <r>
      <rPr>
        <sz val="14"/>
        <rFont val="Arial"/>
        <family val="2"/>
        <charset val="204"/>
      </rPr>
      <t>С</t>
    </r>
    <r>
      <rPr>
        <vertAlign val="subscript"/>
        <sz val="14"/>
        <rFont val="Arial"/>
        <family val="2"/>
        <charset val="204"/>
      </rPr>
      <t>вх</t>
    </r>
    <r>
      <rPr>
        <sz val="14"/>
        <rFont val="Arial"/>
        <family val="2"/>
        <charset val="204"/>
      </rPr>
      <t>)</t>
    </r>
  </si>
  <si>
    <t>ккал/ч</t>
  </si>
  <si>
    <r>
      <t>Q</t>
    </r>
    <r>
      <rPr>
        <vertAlign val="subscript"/>
        <sz val="10"/>
        <color rgb="FF000000"/>
        <rFont val="Arial"/>
        <family val="2"/>
        <charset val="204"/>
      </rPr>
      <t>п,общ</t>
    </r>
  </si>
  <si>
    <t>Необходимая полезная тепловая мощность</t>
  </si>
  <si>
    <r>
      <t>С</t>
    </r>
    <r>
      <rPr>
        <vertAlign val="subscript"/>
        <sz val="10"/>
        <color rgb="FF000000"/>
        <rFont val="Arial"/>
        <family val="2"/>
        <charset val="204"/>
      </rPr>
      <t>вых</t>
    </r>
  </si>
  <si>
    <t>Теплоемкость газа на выходе</t>
  </si>
  <si>
    <r>
      <t>ккал/(нм</t>
    </r>
    <r>
      <rPr>
        <vertAlign val="superscript"/>
        <sz val="10"/>
        <rFont val="Arial"/>
        <family val="2"/>
        <charset val="204"/>
      </rPr>
      <t>3</t>
    </r>
    <r>
      <rPr>
        <sz val="14"/>
        <rFont val="Arial"/>
        <family val="2"/>
        <charset val="204"/>
      </rPr>
      <t>К)</t>
    </r>
  </si>
  <si>
    <r>
      <t>С</t>
    </r>
    <r>
      <rPr>
        <vertAlign val="subscript"/>
        <sz val="10"/>
        <rFont val="Arial"/>
        <family val="2"/>
        <charset val="204"/>
      </rPr>
      <t>вх</t>
    </r>
  </si>
  <si>
    <t>Теплоемкость газа на входе</t>
  </si>
  <si>
    <r>
      <t>t</t>
    </r>
    <r>
      <rPr>
        <vertAlign val="subscript"/>
        <sz val="10"/>
        <color rgb="FF000000"/>
        <rFont val="Arial"/>
        <family val="2"/>
        <charset val="204"/>
      </rPr>
      <t>вых</t>
    </r>
  </si>
  <si>
    <t>Температура выходящего газа</t>
  </si>
  <si>
    <r>
      <t>t</t>
    </r>
    <r>
      <rPr>
        <vertAlign val="subscript"/>
        <sz val="10"/>
        <rFont val="Arial"/>
        <family val="2"/>
        <charset val="204"/>
      </rPr>
      <t>вх</t>
    </r>
  </si>
  <si>
    <t>Температура входящего газа</t>
  </si>
  <si>
    <r>
      <t>нм</t>
    </r>
    <r>
      <rPr>
        <vertAlign val="superscript"/>
        <sz val="14"/>
        <color rgb="FF000000"/>
        <rFont val="Arial"/>
        <family val="2"/>
        <charset val="204"/>
      </rPr>
      <t>3</t>
    </r>
    <r>
      <rPr>
        <sz val="14"/>
        <color rgb="FF000000"/>
        <rFont val="Arial"/>
        <family val="2"/>
        <charset val="204"/>
      </rPr>
      <t>/ч</t>
    </r>
  </si>
  <si>
    <r>
      <t>G</t>
    </r>
    <r>
      <rPr>
        <vertAlign val="subscript"/>
        <sz val="10"/>
        <rFont val="Arial"/>
        <family val="2"/>
        <charset val="204"/>
      </rPr>
      <t>г</t>
    </r>
  </si>
  <si>
    <t>Расчет тепловой мощности</t>
  </si>
  <si>
    <t xml:space="preserve"> </t>
  </si>
  <si>
    <t>Обратный расчет</t>
  </si>
  <si>
    <t>Количество Линий</t>
  </si>
  <si>
    <t>Расчет максимальной пропускной способности ГРС-3 Березовка</t>
  </si>
  <si>
    <t>Pвх,Мпа</t>
  </si>
  <si>
    <t>Pвых,Мпа</t>
  </si>
  <si>
    <t>В ходе расчета максимальной пропускной способности газораспределительной станции (ГРС) были учтены следующие ограничения:</t>
  </si>
  <si>
    <t>Регулятор</t>
  </si>
  <si>
    <t>Kv</t>
  </si>
  <si>
    <t>Котельная</t>
  </si>
  <si>
    <t>Мощность котлов</t>
  </si>
  <si>
    <t>Температура газа на входе</t>
  </si>
  <si>
    <t>Температура газа на выходе</t>
  </si>
  <si>
    <t>Температура газа на вSходе в ГРС</t>
  </si>
  <si>
    <t>Таблица 1</t>
  </si>
  <si>
    <t>Диаметр трубы</t>
  </si>
  <si>
    <t>Толщина стенки</t>
  </si>
  <si>
    <t>Скорость газа в трубе</t>
  </si>
  <si>
    <t>Температура газа</t>
  </si>
  <si>
    <t>До редуцирования</t>
  </si>
  <si>
    <t>Таблица 2</t>
  </si>
  <si>
    <t>+</t>
  </si>
  <si>
    <t>Pвх</t>
  </si>
  <si>
    <t>0,2 МПа</t>
  </si>
  <si>
    <t>Pвых</t>
  </si>
  <si>
    <t>0,3 МПа</t>
  </si>
  <si>
    <t>0,4 МПа</t>
  </si>
  <si>
    <t>0,5 МПа</t>
  </si>
  <si>
    <t>0,6 МПа</t>
  </si>
  <si>
    <t>0,7 МПа</t>
  </si>
  <si>
    <t>Входное давление, Мпа</t>
  </si>
  <si>
    <t>Выходное давление, Мпа</t>
  </si>
  <si>
    <t xml:space="preserve"> Qквт = 1500</t>
  </si>
  <si>
    <t>Процесс расчета</t>
  </si>
  <si>
    <t>Расчет максимальной пропускной способности трубопровода различных диаметров при изменении давления для максимально допустимой скорости в 25 м/с._x000D_
Расчет максимальной пропускной способности котельной с учетом мощности и перепада температур._x000D_
Расчет пропускной способности регулятора давления на основе его коэффициента и заданных перепадов давления.</t>
  </si>
  <si>
    <t>Результаты</t>
  </si>
  <si>
    <t>Составлена таблица максимальных расходов газа для заданных условий. Построен график, показывающий зависимость между давлением и максимальным расходом газа.</t>
  </si>
  <si>
    <t>Заключение</t>
  </si>
  <si>
    <t>Согласно результатам данного расчета мы соответствуем требованиям опросного листа по расходным характеристикам ГРС._x000D_
Расчет подтвердил возможность достижения заданных параметров пропускной способности ГРС.</t>
  </si>
  <si>
    <t>530 х 16</t>
  </si>
  <si>
    <t>412 х 16</t>
  </si>
  <si>
    <t xml:space="preserve"> Kv = 100</t>
  </si>
  <si>
    <t>1,2 - 7,4</t>
  </si>
  <si>
    <t>0,2 - 1,2</t>
  </si>
  <si>
    <t>0,8 МПа</t>
  </si>
  <si>
    <t>0,9 МПа</t>
  </si>
  <si>
    <t>1 МПа</t>
  </si>
  <si>
    <t>1,1 МПа</t>
  </si>
  <si>
    <t>1,2 МПа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</si>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</sst>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#,##0.0000"/>
  </numFmts>
  <fonts count="47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6"/>
      <name val="Arial"/>
      <family val="2"/>
      <charset val="1"/>
    </font>
    <font>
      <sz val="10"/>
      <name val="Arial"/>
      <family val="2"/>
      <charset val="1"/>
    </font>
    <font>
      <sz val="12"/>
      <name val="Times New Roman"/>
      <family val="1"/>
      <charset val="204"/>
    </font>
    <font>
      <sz val="16"/>
      <name val="Times New Roman"/>
      <family val="1"/>
      <charset val="204"/>
    </font>
    <font>
      <vertAlign val="superscript"/>
      <sz val="10"/>
      <name val="Arial"/>
      <family val="2"/>
      <charset val="204"/>
    </font>
    <font>
      <vertAlign val="subscript"/>
      <sz val="10"/>
      <name val="Arial"/>
      <family val="2"/>
      <charset val="204"/>
    </font>
    <font>
      <b/>
      <sz val="14"/>
      <name val="Arial"/>
      <family val="2"/>
      <charset val="204"/>
    </font>
    <font>
      <sz val="11"/>
      <color rgb="FF000000"/>
      <name val="Calibri"/>
      <family val="2"/>
      <charset val="204"/>
    </font>
    <font>
      <i/>
      <sz val="12"/>
      <name val="Times New Roman"/>
      <family val="1"/>
      <charset val="204"/>
    </font>
    <font>
      <sz val="12"/>
      <name val="Arial"/>
      <family val="2"/>
      <charset val="204"/>
    </font>
    <font>
      <i/>
      <sz val="16"/>
      <name val="Times New Roman"/>
      <family val="1"/>
      <charset val="204"/>
    </font>
    <font>
      <i/>
      <vertAlign val="subscript"/>
      <sz val="16"/>
      <name val="Times New Roman"/>
      <family val="1"/>
      <charset val="204"/>
    </font>
    <font>
      <b/>
      <sz val="10"/>
      <name val="Arial"/>
      <family val="2"/>
      <charset val="204"/>
    </font>
    <font>
      <sz val="14"/>
      <name val="Arial"/>
      <family val="2"/>
      <charset val="204"/>
    </font>
    <font>
      <sz val="14"/>
      <name val="Times New Roman"/>
      <family val="1"/>
      <charset val="204"/>
    </font>
    <font>
      <vertAlign val="subscript"/>
      <sz val="14"/>
      <name val="Times New Roman"/>
      <family val="1"/>
      <charset val="204"/>
    </font>
    <font>
      <sz val="16"/>
      <name val="Arial"/>
      <family val="2"/>
      <charset val="204"/>
    </font>
    <font>
      <vertAlign val="subscript"/>
      <sz val="16"/>
      <name val="Arial"/>
      <family val="2"/>
      <charset val="204"/>
    </font>
    <font>
      <vertAlign val="superscript"/>
      <sz val="14"/>
      <name val="Arial"/>
      <family val="2"/>
      <charset val="204"/>
    </font>
    <font>
      <vertAlign val="superscript"/>
      <sz val="14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Symbol"/>
      <family val="1"/>
      <charset val="2"/>
    </font>
    <font>
      <vertAlign val="superscript"/>
      <sz val="10"/>
      <name val="Arial Cyr"/>
      <family val="2"/>
      <charset val="204"/>
    </font>
    <font>
      <vertAlign val="subscript"/>
      <sz val="10"/>
      <name val="Arial Cyr"/>
      <family val="2"/>
      <charset val="204"/>
    </font>
    <font>
      <vertAlign val="superscript"/>
      <sz val="10"/>
      <name val="Symbol"/>
      <family val="1"/>
      <charset val="2"/>
    </font>
    <font>
      <sz val="12"/>
      <name val="Arial Cyr"/>
      <family val="2"/>
      <charset val="204"/>
    </font>
    <font>
      <b/>
      <sz val="12"/>
      <name val="Arial"/>
      <family val="2"/>
      <charset val="204"/>
    </font>
    <font>
      <i/>
      <sz val="10"/>
      <name val="Arial"/>
      <family val="2"/>
      <charset val="204"/>
    </font>
    <font>
      <b/>
      <sz val="11"/>
      <name val="Arial"/>
      <family val="2"/>
      <charset val="204"/>
    </font>
    <font>
      <i/>
      <sz val="10"/>
      <name val="Times New Roman"/>
      <family val="1"/>
      <charset val="204"/>
    </font>
    <font>
      <i/>
      <sz val="14"/>
      <name val="Arial"/>
      <family val="2"/>
      <charset val="204"/>
    </font>
    <font>
      <sz val="14"/>
      <name val="Arial Cyr"/>
      <family val="2"/>
      <charset val="204"/>
    </font>
    <font>
      <vertAlign val="superscript"/>
      <sz val="14"/>
      <color rgb="FF000000"/>
      <name val="Arial"/>
      <family val="2"/>
      <charset val="204"/>
    </font>
    <font>
      <sz val="14"/>
      <color rgb="FF000000"/>
      <name val="Arial"/>
      <family val="2"/>
      <charset val="204"/>
    </font>
    <font>
      <vertAlign val="subscript"/>
      <sz val="14"/>
      <name val="Arial"/>
      <family val="2"/>
      <charset val="204"/>
    </font>
    <font>
      <i/>
      <vertAlign val="subscript"/>
      <sz val="14"/>
      <name val="Arial"/>
      <family val="2"/>
      <charset val="204"/>
    </font>
    <font>
      <i/>
      <vertAlign val="superscript"/>
      <sz val="14"/>
      <name val="Arial"/>
      <family val="2"/>
      <charset val="204"/>
    </font>
    <font>
      <b/>
      <sz val="18"/>
      <name val="Arial"/>
      <family val="2"/>
      <charset val="204"/>
    </font>
    <font>
      <b/>
      <sz val="16"/>
      <name val="Arial"/>
      <family val="2"/>
      <charset val="204"/>
    </font>
    <font>
      <sz val="10"/>
      <color rgb="FF000000"/>
      <name val="Arial"/>
      <family val="2"/>
      <charset val="204"/>
    </font>
    <font>
      <sz val="14"/>
      <name val="Calibri"/>
      <family val="2"/>
      <charset val="204"/>
    </font>
    <font>
      <vertAlign val="subscript"/>
      <sz val="10"/>
      <color rgb="FF000000"/>
      <name val="Arial"/>
      <family val="2"/>
      <charset val="204"/>
    </font>
    <font>
      <vertAlign val="subscript"/>
      <sz val="14"/>
      <color rgb="FF000000"/>
      <name val="Arial"/>
      <family val="2"/>
      <charset val="204"/>
    </font>
    <font>
      <b/>
      <vertAlign val="subscript"/>
      <sz val="12"/>
      <color rgb="FF000000"/>
      <name val="Arial"/>
      <family val="2"/>
      <charset val="204"/>
    </font>
    <font>
      <sz val="20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99CC"/>
        <bgColor rgb="FFFF8080"/>
      </patternFill>
    </fill>
    <fill>
      <patternFill patternType="solid">
        <fgColor rgb="FF92D050"/>
        <bgColor rgb="FFCCCCFF"/>
      </patternFill>
    </fill>
    <fill>
      <patternFill patternType="solid">
        <fgColor rgb="FFFFFF99"/>
        <bgColor rgb="FFFFFFCC"/>
      </patternFill>
    </fill>
    <fill>
      <patternFill patternType="solid">
        <fgColor rgb="FF99CCFF"/>
        <bgColor rgb="FFCCCCFF"/>
      </patternFill>
    </fill>
    <fill>
      <patternFill patternType="solid">
        <fgColor indexed="15"/>
        <bgColor indexed="3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31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rgb="FF33CCCC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0000FF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rgb="FF0000FF"/>
      </bottom>
      <diagonal/>
    </border>
    <border>
      <left style="thick">
        <color rgb="FF0000FF"/>
      </left>
      <right style="thin">
        <color auto="1"/>
      </right>
      <top style="thick">
        <color rgb="FF0000FF"/>
      </top>
      <bottom style="thin">
        <color auto="1"/>
      </bottom>
      <diagonal/>
    </border>
    <border>
      <left style="thick">
        <color rgb="FF0000FF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n">
        <color auto="1"/>
      </right>
      <top style="thin">
        <color indexed="64"/>
      </top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n">
        <color indexed="64"/>
      </left>
      <right style="thick">
        <color rgb="FF0000FF"/>
      </right>
      <top style="thin">
        <color indexed="64"/>
      </top>
      <bottom style="thin">
        <color auto="1"/>
      </bottom>
      <diagonal/>
    </border>
    <border>
      <left/>
      <right style="thick">
        <color rgb="FF0000FF"/>
      </right>
      <top/>
      <bottom/>
      <diagonal/>
    </border>
    <border>
      <left style="thin">
        <color indexed="64"/>
      </left>
      <right style="thick">
        <color rgb="FF0000FF"/>
      </right>
      <top style="thin">
        <color indexed="64"/>
      </top>
      <bottom style="thick">
        <color rgb="FF0000FF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44">
    <xf numFmtId="0" fontId="0" fillId="0" borderId="0" xfId="0"/>
    <xf numFmtId="0" fontId="2" fillId="0" borderId="0" xfId="1" applyFont="1" applyBorder="1" applyAlignment="1"/>
    <xf numFmtId="0" fontId="3" fillId="0" borderId="0" xfId="1" applyFont="1"/>
    <xf numFmtId="0" fontId="0" fillId="2" borderId="1" xfId="0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>
      <alignment horizontal="center"/>
    </xf>
    <xf numFmtId="0" fontId="3" fillId="2" borderId="1" xfId="1" applyFont="1" applyFill="1" applyBorder="1" applyAlignment="1">
      <alignment horizontal="center"/>
    </xf>
    <xf numFmtId="0" fontId="8" fillId="2" borderId="1" xfId="1" applyFont="1" applyFill="1" applyBorder="1" applyAlignment="1">
      <alignment horizontal="center"/>
    </xf>
    <xf numFmtId="0" fontId="1" fillId="0" borderId="0" xfId="2"/>
    <xf numFmtId="164" fontId="4" fillId="5" borderId="1" xfId="2" applyNumberFormat="1" applyFont="1" applyFill="1" applyBorder="1" applyAlignment="1">
      <alignment horizontal="center" vertical="center" wrapText="1"/>
    </xf>
    <xf numFmtId="164" fontId="1" fillId="0" borderId="1" xfId="2" applyNumberFormat="1" applyBorder="1"/>
    <xf numFmtId="164" fontId="4" fillId="5" borderId="1" xfId="2" applyNumberFormat="1" applyFont="1" applyFill="1" applyBorder="1" applyAlignment="1">
      <alignment vertical="center" wrapText="1"/>
    </xf>
    <xf numFmtId="0" fontId="10" fillId="5" borderId="1" xfId="2" applyFont="1" applyFill="1" applyBorder="1" applyAlignment="1">
      <alignment horizontal="right" vertical="center" wrapText="1"/>
    </xf>
    <xf numFmtId="2" fontId="4" fillId="5" borderId="1" xfId="2" applyNumberFormat="1" applyFont="1" applyFill="1" applyBorder="1" applyAlignment="1">
      <alignment vertical="center" wrapText="1"/>
    </xf>
    <xf numFmtId="0" fontId="11" fillId="0" borderId="0" xfId="2" applyFont="1"/>
    <xf numFmtId="164" fontId="4" fillId="0" borderId="0" xfId="2" applyNumberFormat="1" applyFont="1" applyAlignment="1">
      <alignment horizontal="center" vertical="center" wrapText="1"/>
    </xf>
    <xf numFmtId="0" fontId="1" fillId="0" borderId="0" xfId="2" applyAlignment="1">
      <alignment horizontal="center" vertical="center"/>
    </xf>
    <xf numFmtId="2" fontId="4" fillId="3" borderId="1" xfId="2" applyNumberFormat="1" applyFont="1" applyFill="1" applyBorder="1" applyAlignment="1">
      <alignment vertical="center" wrapText="1"/>
    </xf>
    <xf numFmtId="164" fontId="4" fillId="3" borderId="1" xfId="2" applyNumberFormat="1" applyFont="1" applyFill="1" applyBorder="1" applyAlignment="1">
      <alignment vertical="center" wrapText="1"/>
    </xf>
    <xf numFmtId="2" fontId="4" fillId="3" borderId="1" xfId="2" applyNumberFormat="1" applyFont="1" applyFill="1" applyBorder="1" applyAlignment="1">
      <alignment horizontal="center" vertical="center" wrapText="1"/>
    </xf>
    <xf numFmtId="164" fontId="4" fillId="3" borderId="1" xfId="2" applyNumberFormat="1" applyFont="1" applyFill="1" applyBorder="1" applyAlignment="1">
      <alignment horizontal="center" vertical="center" wrapText="1"/>
    </xf>
    <xf numFmtId="165" fontId="4" fillId="3" borderId="1" xfId="2" applyNumberFormat="1" applyFont="1" applyFill="1" applyBorder="1" applyAlignment="1">
      <alignment horizontal="center" vertical="center" wrapText="1"/>
    </xf>
    <xf numFmtId="0" fontId="4" fillId="3" borderId="1" xfId="2" applyFont="1" applyFill="1" applyBorder="1" applyAlignment="1">
      <alignment horizontal="center" vertical="center" wrapText="1"/>
    </xf>
    <xf numFmtId="0" fontId="4" fillId="6" borderId="1" xfId="2" applyFont="1" applyFill="1" applyBorder="1" applyAlignment="1" applyProtection="1">
      <alignment horizontal="center" vertical="center" wrapText="1"/>
      <protection locked="0"/>
    </xf>
    <xf numFmtId="0" fontId="4" fillId="4" borderId="1" xfId="2" applyFont="1" applyFill="1" applyBorder="1" applyAlignment="1" applyProtection="1">
      <alignment horizontal="center" vertical="center" wrapText="1"/>
      <protection locked="0"/>
    </xf>
    <xf numFmtId="0" fontId="4" fillId="3" borderId="1" xfId="2" applyFont="1" applyFill="1" applyBorder="1" applyAlignment="1">
      <alignment vertical="center" wrapText="1"/>
    </xf>
    <xf numFmtId="0" fontId="1" fillId="0" borderId="0" xfId="2" applyFont="1" applyBorder="1" applyAlignment="1">
      <alignment horizontal="center"/>
    </xf>
    <xf numFmtId="0" fontId="1" fillId="0" borderId="0" xfId="2" applyFont="1" applyBorder="1" applyAlignment="1">
      <alignment horizontal="center" wrapText="1"/>
    </xf>
    <xf numFmtId="0" fontId="10" fillId="5" borderId="1" xfId="2" applyFont="1" applyFill="1" applyBorder="1" applyAlignment="1">
      <alignment horizontal="center" vertical="center" wrapText="1"/>
    </xf>
    <xf numFmtId="0" fontId="5" fillId="3" borderId="1" xfId="2" applyFont="1" applyFill="1" applyBorder="1" applyAlignment="1">
      <alignment horizontal="center" vertical="center" wrapText="1"/>
    </xf>
    <xf numFmtId="0" fontId="1" fillId="0" borderId="0" xfId="2" applyBorder="1"/>
    <xf numFmtId="0" fontId="1" fillId="0" borderId="0" xfId="2" applyFont="1" applyBorder="1" applyAlignment="1">
      <alignment vertical="top"/>
    </xf>
    <xf numFmtId="0" fontId="1" fillId="0" borderId="0" xfId="2" applyFont="1" applyBorder="1" applyAlignment="1">
      <alignment vertical="center"/>
    </xf>
    <xf numFmtId="0" fontId="14" fillId="0" borderId="4" xfId="2" applyFont="1" applyBorder="1" applyAlignment="1">
      <alignment horizontal="center" vertical="center"/>
    </xf>
    <xf numFmtId="0" fontId="1" fillId="0" borderId="1" xfId="2" applyBorder="1"/>
    <xf numFmtId="0" fontId="15" fillId="0" borderId="2" xfId="2" applyFont="1" applyBorder="1"/>
    <xf numFmtId="0" fontId="16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vertical="center" wrapText="1"/>
    </xf>
    <xf numFmtId="0" fontId="4" fillId="0" borderId="1" xfId="2" applyFont="1" applyBorder="1" applyAlignment="1">
      <alignment horizontal="center" vertical="center" wrapText="1"/>
    </xf>
    <xf numFmtId="0" fontId="11" fillId="0" borderId="0" xfId="2" applyFont="1" applyBorder="1" applyAlignment="1">
      <alignment vertical="center"/>
    </xf>
    <xf numFmtId="0" fontId="11" fillId="0" borderId="4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" fillId="0" borderId="0" xfId="2" applyBorder="1" applyAlignment="1">
      <alignment vertical="top"/>
    </xf>
    <xf numFmtId="0" fontId="18" fillId="0" borderId="1" xfId="2" applyFont="1" applyBorder="1" applyAlignment="1">
      <alignment horizontal="center" vertical="center"/>
    </xf>
    <xf numFmtId="0" fontId="1" fillId="0" borderId="1" xfId="2" applyFont="1" applyBorder="1" applyAlignment="1">
      <alignment horizontal="center" vertical="center"/>
    </xf>
    <xf numFmtId="0" fontId="16" fillId="0" borderId="2" xfId="2" applyFont="1" applyBorder="1" applyAlignment="1">
      <alignment horizontal="center" vertical="center"/>
    </xf>
    <xf numFmtId="0" fontId="16" fillId="0" borderId="2" xfId="2" applyFont="1" applyBorder="1" applyAlignment="1">
      <alignment horizontal="center"/>
    </xf>
    <xf numFmtId="0" fontId="14" fillId="0" borderId="0" xfId="2" applyFont="1" applyBorder="1" applyAlignment="1">
      <alignment vertical="center"/>
    </xf>
    <xf numFmtId="0" fontId="11" fillId="0" borderId="1" xfId="2" applyFont="1" applyBorder="1" applyAlignment="1">
      <alignment horizontal="center" vertical="center"/>
    </xf>
    <xf numFmtId="0" fontId="1" fillId="0" borderId="5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" fillId="0" borderId="0" xfId="2" applyFont="1" applyBorder="1" applyAlignment="1"/>
    <xf numFmtId="0" fontId="1" fillId="0" borderId="0" xfId="2" applyBorder="1" applyAlignment="1"/>
    <xf numFmtId="0" fontId="11" fillId="0" borderId="6" xfId="2" applyFont="1" applyBorder="1" applyAlignment="1">
      <alignment horizontal="center" vertical="center"/>
    </xf>
    <xf numFmtId="0" fontId="1" fillId="0" borderId="0" xfId="2" applyFont="1" applyBorder="1"/>
    <xf numFmtId="2" fontId="11" fillId="0" borderId="1" xfId="2" applyNumberFormat="1" applyFont="1" applyBorder="1" applyAlignment="1">
      <alignment horizontal="center" vertical="center"/>
    </xf>
    <xf numFmtId="0" fontId="1" fillId="0" borderId="2" xfId="2" applyBorder="1"/>
    <xf numFmtId="164" fontId="11" fillId="0" borderId="1" xfId="2" applyNumberFormat="1" applyFont="1" applyBorder="1" applyAlignment="1">
      <alignment horizontal="center" vertical="center"/>
    </xf>
    <xf numFmtId="0" fontId="0" fillId="0" borderId="0" xfId="1" applyFont="1" applyBorder="1" applyAlignment="1">
      <alignment horizontal="center"/>
    </xf>
    <xf numFmtId="0" fontId="1" fillId="0" borderId="0" xfId="2" applyFont="1" applyBorder="1" applyAlignment="1">
      <alignment horizontal="left"/>
    </xf>
    <xf numFmtId="0" fontId="1" fillId="0" borderId="7" xfId="2" applyFont="1" applyBorder="1" applyAlignment="1">
      <alignment horizontal="center" vertical="center"/>
    </xf>
    <xf numFmtId="0" fontId="4" fillId="0" borderId="1" xfId="2" applyFont="1" applyBorder="1" applyAlignment="1">
      <alignment wrapText="1"/>
    </xf>
    <xf numFmtId="0" fontId="11" fillId="0" borderId="2" xfId="2" applyFont="1" applyBorder="1" applyAlignment="1">
      <alignment horizontal="center" vertical="center"/>
    </xf>
    <xf numFmtId="0" fontId="11" fillId="3" borderId="2" xfId="2" applyFont="1" applyFill="1" applyBorder="1" applyAlignment="1">
      <alignment horizontal="center" wrapText="1"/>
    </xf>
    <xf numFmtId="0" fontId="21" fillId="0" borderId="1" xfId="2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 wrapText="1"/>
    </xf>
    <xf numFmtId="0" fontId="11" fillId="0" borderId="1" xfId="2" applyFont="1" applyBorder="1" applyAlignment="1">
      <alignment horizontal="center" vertical="center" wrapText="1"/>
    </xf>
    <xf numFmtId="0" fontId="18" fillId="0" borderId="0" xfId="2" applyFont="1" applyBorder="1" applyAlignment="1">
      <alignment horizontal="center"/>
    </xf>
    <xf numFmtId="0" fontId="1" fillId="0" borderId="0" xfId="2" applyFill="1" applyProtection="1"/>
    <xf numFmtId="0" fontId="1" fillId="0" borderId="0" xfId="2" applyFont="1" applyAlignment="1">
      <alignment horizontal="right"/>
    </xf>
    <xf numFmtId="0" fontId="1" fillId="0" borderId="0" xfId="2" applyAlignment="1">
      <alignment horizontal="left"/>
    </xf>
    <xf numFmtId="166" fontId="1" fillId="0" borderId="0" xfId="2" applyNumberFormat="1" applyAlignment="1">
      <alignment horizontal="left"/>
    </xf>
    <xf numFmtId="0" fontId="23" fillId="0" borderId="0" xfId="2" applyFont="1" applyAlignment="1">
      <alignment horizontal="right"/>
    </xf>
    <xf numFmtId="0" fontId="23" fillId="0" borderId="0" xfId="2" applyFont="1" applyAlignment="1">
      <alignment horizontal="left"/>
    </xf>
    <xf numFmtId="2" fontId="1" fillId="0" borderId="0" xfId="2" applyNumberFormat="1" applyAlignment="1">
      <alignment horizontal="left"/>
    </xf>
    <xf numFmtId="0" fontId="24" fillId="0" borderId="0" xfId="2" applyFont="1" applyAlignment="1">
      <alignment horizontal="left"/>
    </xf>
    <xf numFmtId="2" fontId="1" fillId="0" borderId="0" xfId="2" applyNumberFormat="1"/>
    <xf numFmtId="0" fontId="1" fillId="0" borderId="0" xfId="2" applyFill="1" applyAlignment="1" applyProtection="1">
      <alignment horizontal="right"/>
    </xf>
    <xf numFmtId="1" fontId="1" fillId="0" borderId="0" xfId="2" applyNumberFormat="1"/>
    <xf numFmtId="0" fontId="1" fillId="7" borderId="0" xfId="2" applyFill="1" applyProtection="1">
      <protection locked="0"/>
    </xf>
    <xf numFmtId="0" fontId="1" fillId="0" borderId="0" xfId="2" applyProtection="1">
      <protection locked="0"/>
    </xf>
    <xf numFmtId="0" fontId="1" fillId="0" borderId="0" xfId="2" applyFill="1" applyAlignment="1" applyProtection="1">
      <alignment horizontal="left"/>
    </xf>
    <xf numFmtId="2" fontId="1" fillId="0" borderId="0" xfId="2" applyNumberFormat="1" applyFill="1" applyProtection="1"/>
    <xf numFmtId="1" fontId="1" fillId="0" borderId="0" xfId="2" applyNumberFormat="1" applyFill="1" applyProtection="1"/>
    <xf numFmtId="0" fontId="23" fillId="0" borderId="0" xfId="2" applyFont="1" applyFill="1" applyAlignment="1" applyProtection="1">
      <alignment horizontal="left"/>
    </xf>
    <xf numFmtId="0" fontId="1" fillId="0" borderId="0" xfId="2" applyNumberFormat="1"/>
    <xf numFmtId="0" fontId="1" fillId="0" borderId="0" xfId="2" applyAlignment="1">
      <alignment horizontal="center"/>
    </xf>
    <xf numFmtId="166" fontId="1" fillId="0" borderId="1" xfId="2" applyNumberFormat="1" applyBorder="1" applyAlignment="1">
      <alignment horizontal="center"/>
    </xf>
    <xf numFmtId="0" fontId="1" fillId="0" borderId="1" xfId="2" applyFont="1" applyBorder="1" applyAlignment="1">
      <alignment horizontal="right"/>
    </xf>
    <xf numFmtId="0" fontId="23" fillId="0" borderId="1" xfId="2" applyFont="1" applyBorder="1" applyAlignment="1">
      <alignment horizontal="right"/>
    </xf>
    <xf numFmtId="166" fontId="1" fillId="0" borderId="0" xfId="2" applyNumberFormat="1" applyAlignment="1">
      <alignment horizontal="center"/>
    </xf>
    <xf numFmtId="0" fontId="23" fillId="0" borderId="1" xfId="2" applyFont="1" applyBorder="1" applyAlignment="1">
      <alignment horizontal="left"/>
    </xf>
    <xf numFmtId="0" fontId="1" fillId="0" borderId="1" xfId="2" applyBorder="1" applyAlignment="1">
      <alignment horizontal="center"/>
    </xf>
    <xf numFmtId="0" fontId="23" fillId="0" borderId="0" xfId="2" applyFont="1" applyAlignment="1">
      <alignment horizontal="center"/>
    </xf>
    <xf numFmtId="0" fontId="1" fillId="0" borderId="1" xfId="2" applyBorder="1" applyAlignment="1">
      <alignment horizontal="left"/>
    </xf>
    <xf numFmtId="2" fontId="1" fillId="0" borderId="1" xfId="2" applyNumberFormat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23" fillId="0" borderId="1" xfId="2" applyFont="1" applyBorder="1" applyAlignment="1">
      <alignment horizontal="center"/>
    </xf>
    <xf numFmtId="0" fontId="1" fillId="8" borderId="1" xfId="2" applyFill="1" applyBorder="1"/>
    <xf numFmtId="0" fontId="1" fillId="0" borderId="1" xfId="2" applyFont="1" applyBorder="1"/>
    <xf numFmtId="1" fontId="1" fillId="0" borderId="1" xfId="2" applyNumberFormat="1" applyBorder="1" applyAlignment="1">
      <alignment horizontal="center"/>
    </xf>
    <xf numFmtId="0" fontId="1" fillId="9" borderId="0" xfId="2" applyFill="1" applyProtection="1">
      <protection locked="0"/>
    </xf>
    <xf numFmtId="0" fontId="1" fillId="0" borderId="0" xfId="2" applyAlignment="1">
      <alignment vertical="center" wrapText="1"/>
    </xf>
    <xf numFmtId="0" fontId="26" fillId="0" borderId="0" xfId="2" applyFont="1" applyAlignment="1">
      <alignment horizontal="left"/>
    </xf>
    <xf numFmtId="2" fontId="1" fillId="9" borderId="0" xfId="2" applyNumberFormat="1" applyFill="1" applyProtection="1">
      <protection locked="0"/>
    </xf>
    <xf numFmtId="2" fontId="1" fillId="9" borderId="0" xfId="2" applyNumberFormat="1" applyFill="1" applyAlignment="1" applyProtection="1">
      <alignment horizontal="right"/>
      <protection locked="0"/>
    </xf>
    <xf numFmtId="1" fontId="1" fillId="10" borderId="8" xfId="2" applyNumberFormat="1" applyFill="1" applyBorder="1" applyAlignment="1">
      <alignment horizontal="center" vertical="center"/>
    </xf>
    <xf numFmtId="2" fontId="1" fillId="9" borderId="0" xfId="2" applyNumberFormat="1" applyFill="1" applyAlignment="1" applyProtection="1">
      <alignment horizontal="center" vertical="center"/>
      <protection locked="0"/>
    </xf>
    <xf numFmtId="0" fontId="27" fillId="0" borderId="0" xfId="2" applyFont="1"/>
    <xf numFmtId="0" fontId="1" fillId="0" borderId="0" xfId="2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14" fillId="0" borderId="0" xfId="2" applyFont="1" applyBorder="1" applyAlignment="1">
      <alignment horizontal="center" wrapText="1"/>
    </xf>
    <xf numFmtId="0" fontId="14" fillId="0" borderId="0" xfId="2" applyFont="1" applyBorder="1" applyAlignment="1">
      <alignment horizontal="center" vertical="center" wrapText="1"/>
    </xf>
    <xf numFmtId="0" fontId="29" fillId="0" borderId="0" xfId="2" applyFont="1" applyBorder="1" applyAlignment="1">
      <alignment wrapText="1"/>
    </xf>
    <xf numFmtId="0" fontId="30" fillId="0" borderId="0" xfId="2" applyFont="1" applyBorder="1" applyAlignment="1">
      <alignment horizontal="center"/>
    </xf>
    <xf numFmtId="0" fontId="29" fillId="0" borderId="0" xfId="2" applyFont="1" applyBorder="1"/>
    <xf numFmtId="0" fontId="31" fillId="0" borderId="0" xfId="2" applyFont="1"/>
    <xf numFmtId="2" fontId="15" fillId="11" borderId="1" xfId="2" applyNumberFormat="1" applyFont="1" applyFill="1" applyBorder="1" applyAlignment="1">
      <alignment horizontal="center"/>
    </xf>
    <xf numFmtId="0" fontId="29" fillId="0" borderId="1" xfId="2" applyFont="1" applyBorder="1" applyAlignment="1">
      <alignment horizontal="left"/>
    </xf>
    <xf numFmtId="0" fontId="15" fillId="3" borderId="1" xfId="2" applyFont="1" applyFill="1" applyBorder="1" applyAlignment="1">
      <alignment horizontal="center" wrapText="1"/>
    </xf>
    <xf numFmtId="0" fontId="15" fillId="0" borderId="0" xfId="2" applyFont="1" applyBorder="1" applyAlignment="1">
      <alignment horizontal="center"/>
    </xf>
    <xf numFmtId="0" fontId="18" fillId="0" borderId="0" xfId="2" applyFont="1" applyBorder="1"/>
    <xf numFmtId="0" fontId="32" fillId="0" borderId="0" xfId="2" applyFont="1" applyBorder="1" applyAlignment="1">
      <alignment horizontal="center" wrapText="1"/>
    </xf>
    <xf numFmtId="0" fontId="15" fillId="0" borderId="0" xfId="2" applyFont="1" applyBorder="1" applyAlignment="1">
      <alignment horizontal="center" vertical="center" wrapText="1"/>
    </xf>
    <xf numFmtId="0" fontId="33" fillId="0" borderId="0" xfId="2" applyFont="1" applyBorder="1" applyAlignment="1">
      <alignment horizontal="center" vertical="center"/>
    </xf>
    <xf numFmtId="0" fontId="15" fillId="0" borderId="0" xfId="2" applyFont="1" applyBorder="1"/>
    <xf numFmtId="0" fontId="15" fillId="0" borderId="1" xfId="2" applyFont="1" applyBorder="1" applyAlignment="1">
      <alignment horizontal="center"/>
    </xf>
    <xf numFmtId="0" fontId="15" fillId="0" borderId="1" xfId="2" applyFont="1" applyBorder="1" applyAlignment="1">
      <alignment horizontal="center" vertical="center" wrapText="1"/>
    </xf>
    <xf numFmtId="0" fontId="15" fillId="0" borderId="1" xfId="2" applyFont="1" applyBorder="1"/>
    <xf numFmtId="0" fontId="32" fillId="0" borderId="1" xfId="2" applyFont="1" applyBorder="1" applyAlignment="1">
      <alignment horizontal="center" wrapText="1"/>
    </xf>
    <xf numFmtId="2" fontId="15" fillId="11" borderId="9" xfId="2" applyNumberFormat="1" applyFont="1" applyFill="1" applyBorder="1" applyAlignment="1">
      <alignment horizontal="center"/>
    </xf>
    <xf numFmtId="0" fontId="1" fillId="12" borderId="10" xfId="2" applyFont="1" applyFill="1" applyBorder="1" applyAlignment="1">
      <alignment horizontal="center" vertical="center"/>
    </xf>
    <xf numFmtId="0" fontId="15" fillId="11" borderId="2" xfId="2" applyFont="1" applyFill="1" applyBorder="1" applyAlignment="1">
      <alignment horizontal="center"/>
    </xf>
    <xf numFmtId="0" fontId="32" fillId="0" borderId="1" xfId="2" applyFont="1" applyBorder="1" applyAlignment="1">
      <alignment horizontal="center"/>
    </xf>
    <xf numFmtId="0" fontId="15" fillId="0" borderId="1" xfId="2" applyFont="1" applyBorder="1" applyAlignment="1">
      <alignment horizontal="right"/>
    </xf>
    <xf numFmtId="0" fontId="1" fillId="0" borderId="11" xfId="2" applyBorder="1" applyAlignment="1">
      <alignment horizontal="center" vertical="center"/>
    </xf>
    <xf numFmtId="0" fontId="1" fillId="0" borderId="12" xfId="2" applyBorder="1" applyAlignment="1">
      <alignment horizontal="center" vertical="center"/>
    </xf>
    <xf numFmtId="2" fontId="15" fillId="11" borderId="2" xfId="2" applyNumberFormat="1" applyFont="1" applyFill="1" applyBorder="1" applyAlignment="1">
      <alignment horizontal="center"/>
    </xf>
    <xf numFmtId="0" fontId="18" fillId="0" borderId="1" xfId="2" applyFont="1" applyBorder="1"/>
    <xf numFmtId="2" fontId="1" fillId="0" borderId="0" xfId="2" applyNumberFormat="1" applyAlignment="1">
      <alignment horizontal="center"/>
    </xf>
    <xf numFmtId="0" fontId="1" fillId="0" borderId="0" xfId="2" applyFont="1" applyAlignment="1">
      <alignment horizontal="center"/>
    </xf>
    <xf numFmtId="0" fontId="15" fillId="3" borderId="1" xfId="2" applyFont="1" applyFill="1" applyBorder="1" applyAlignment="1" applyProtection="1">
      <alignment horizontal="center" wrapText="1"/>
      <protection locked="0"/>
    </xf>
    <xf numFmtId="0" fontId="32" fillId="0" borderId="1" xfId="2" applyFont="1" applyBorder="1"/>
    <xf numFmtId="0" fontId="38" fillId="0" borderId="1" xfId="2" applyFont="1" applyBorder="1" applyAlignment="1">
      <alignment horizontal="center"/>
    </xf>
    <xf numFmtId="0" fontId="15" fillId="11" borderId="1" xfId="2" applyFont="1" applyFill="1" applyBorder="1" applyAlignment="1">
      <alignment horizontal="center"/>
    </xf>
    <xf numFmtId="165" fontId="1" fillId="0" borderId="0" xfId="2" applyNumberFormat="1" applyAlignment="1">
      <alignment horizontal="center"/>
    </xf>
    <xf numFmtId="0" fontId="32" fillId="0" borderId="1" xfId="2" applyFont="1" applyBorder="1" applyAlignment="1">
      <alignment wrapText="1"/>
    </xf>
    <xf numFmtId="0" fontId="32" fillId="0" borderId="5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32" fillId="0" borderId="5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/>
    </xf>
    <xf numFmtId="1" fontId="1" fillId="0" borderId="0" xfId="2" applyNumberFormat="1" applyBorder="1" applyAlignment="1">
      <alignment horizontal="center"/>
    </xf>
    <xf numFmtId="0" fontId="28" fillId="0" borderId="0" xfId="2" applyFont="1" applyBorder="1"/>
    <xf numFmtId="0" fontId="15" fillId="0" borderId="0" xfId="2" applyFont="1"/>
    <xf numFmtId="0" fontId="15" fillId="0" borderId="14" xfId="2" applyFont="1" applyBorder="1" applyAlignment="1">
      <alignment horizontal="center"/>
    </xf>
    <xf numFmtId="0" fontId="15" fillId="0" borderId="0" xfId="2" applyFont="1" applyBorder="1" applyAlignment="1">
      <alignment vertical="center"/>
    </xf>
    <xf numFmtId="0" fontId="16" fillId="0" borderId="0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35" fillId="0" borderId="0" xfId="2" applyFont="1" applyBorder="1" applyAlignment="1">
      <alignment horizontal="center" vertical="center"/>
    </xf>
    <xf numFmtId="0" fontId="35" fillId="0" borderId="0" xfId="2" applyFont="1" applyBorder="1" applyAlignment="1">
      <alignment horizontal="center" vertical="center" wrapText="1"/>
    </xf>
    <xf numFmtId="0" fontId="15" fillId="0" borderId="0" xfId="2" applyFont="1" applyBorder="1" applyAlignment="1">
      <alignment vertical="center" wrapText="1"/>
    </xf>
    <xf numFmtId="0" fontId="40" fillId="0" borderId="0" xfId="2" applyFont="1" applyBorder="1" applyAlignment="1">
      <alignment vertical="center"/>
    </xf>
    <xf numFmtId="0" fontId="40" fillId="0" borderId="15" xfId="2" applyFont="1" applyBorder="1" applyAlignment="1">
      <alignment vertical="center"/>
    </xf>
    <xf numFmtId="0" fontId="15" fillId="0" borderId="0" xfId="2" applyFont="1" applyBorder="1" applyAlignment="1">
      <alignment horizontal="left" vertical="center"/>
    </xf>
    <xf numFmtId="0" fontId="15" fillId="0" borderId="0" xfId="2" applyFont="1" applyBorder="1" applyAlignment="1">
      <alignment horizontal="left" vertical="center" wrapText="1"/>
    </xf>
    <xf numFmtId="0" fontId="11" fillId="0" borderId="0" xfId="2" applyFont="1" applyBorder="1" applyAlignment="1">
      <alignment horizontal="center" vertical="center"/>
    </xf>
    <xf numFmtId="0" fontId="41" fillId="0" borderId="0" xfId="2" applyFont="1" applyBorder="1" applyAlignment="1">
      <alignment horizontal="center" vertical="center" wrapText="1"/>
    </xf>
    <xf numFmtId="0" fontId="15" fillId="0" borderId="0" xfId="2" applyFont="1" applyBorder="1" applyAlignment="1">
      <alignment horizontal="left"/>
    </xf>
    <xf numFmtId="0" fontId="39" fillId="0" borderId="0" xfId="2" applyFont="1" applyBorder="1" applyAlignment="1">
      <alignment horizontal="center"/>
    </xf>
    <xf numFmtId="0" fontId="42" fillId="0" borderId="1" xfId="2" applyFont="1" applyBorder="1" applyAlignment="1">
      <alignment horizontal="center"/>
    </xf>
    <xf numFmtId="0" fontId="15" fillId="11" borderId="1" xfId="2" applyFont="1" applyFill="1" applyBorder="1" applyAlignment="1">
      <alignment horizontal="center" vertical="center"/>
    </xf>
    <xf numFmtId="0" fontId="15" fillId="0" borderId="1" xfId="2" applyFont="1" applyBorder="1" applyAlignment="1">
      <alignment vertical="center" wrapText="1"/>
    </xf>
    <xf numFmtId="2" fontId="15" fillId="11" borderId="1" xfId="2" applyNumberFormat="1" applyFont="1" applyFill="1" applyBorder="1" applyAlignment="1">
      <alignment horizontal="center" vertical="center"/>
    </xf>
    <xf numFmtId="0" fontId="34" fillId="0" borderId="1" xfId="2" applyFont="1" applyBorder="1" applyAlignment="1">
      <alignment horizontal="center" vertical="center" wrapText="1"/>
    </xf>
    <xf numFmtId="0" fontId="35" fillId="0" borderId="1" xfId="2" applyFont="1" applyBorder="1" applyAlignment="1">
      <alignment horizontal="center" vertical="center"/>
    </xf>
    <xf numFmtId="165" fontId="15" fillId="11" borderId="1" xfId="2" applyNumberFormat="1" applyFont="1" applyFill="1" applyBorder="1" applyAlignment="1">
      <alignment horizontal="center" vertical="center"/>
    </xf>
    <xf numFmtId="0" fontId="15" fillId="0" borderId="1" xfId="2" applyFont="1" applyBorder="1" applyAlignment="1">
      <alignment wrapText="1"/>
    </xf>
    <xf numFmtId="0" fontId="15" fillId="0" borderId="0" xfId="2" applyFont="1" applyBorder="1" applyAlignment="1"/>
    <xf numFmtId="0" fontId="15" fillId="0" borderId="16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 wrapText="1"/>
    </xf>
    <xf numFmtId="0" fontId="15" fillId="0" borderId="16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3" fillId="0" borderId="1" xfId="1" applyFont="1" applyFill="1" applyBorder="1" applyAlignment="1">
      <alignment horizontal="center"/>
    </xf>
    <xf numFmtId="3" fontId="3" fillId="0" borderId="1" xfId="1" applyNumberFormat="1" applyFont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2" fontId="15" fillId="3" borderId="1" xfId="2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13" borderId="1" xfId="0" applyFill="1" applyBorder="1"/>
    <xf numFmtId="0" fontId="0" fillId="0" borderId="0" xfId="0" applyFill="1" applyBorder="1"/>
    <xf numFmtId="0" fontId="0" fillId="0" borderId="0" xfId="0" applyAlignment="1"/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11" fillId="0" borderId="1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1" xfId="0" applyBorder="1"/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Border="1"/>
    <xf numFmtId="0" fontId="0" fillId="0" borderId="26" xfId="0" applyFill="1" applyBorder="1" applyAlignment="1">
      <alignment horizontal="center" vertical="center"/>
    </xf>
    <xf numFmtId="0" fontId="0" fillId="0" borderId="27" xfId="0" applyBorder="1"/>
    <xf numFmtId="0" fontId="0" fillId="0" borderId="28" xfId="0" applyFill="1" applyBorder="1" applyAlignment="1">
      <alignment horizontal="center" vertical="center"/>
    </xf>
    <xf numFmtId="0" fontId="0" fillId="0" borderId="29" xfId="0" applyBorder="1"/>
    <xf numFmtId="0" fontId="0" fillId="0" borderId="30" xfId="0" applyFill="1" applyBorder="1" applyAlignment="1">
      <alignment horizontal="center" vertical="center"/>
    </xf>
    <xf numFmtId="0" fontId="0" fillId="14" borderId="22" xfId="0" applyFill="1" applyBorder="1" applyAlignment="1">
      <alignment horizontal="center" vertical="center"/>
    </xf>
    <xf numFmtId="0" fontId="0" fillId="14" borderId="30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4" borderId="0" xfId="0" applyFill="1" applyBorder="1"/>
    <xf numFmtId="0" fontId="0" fillId="14" borderId="29" xfId="0" applyFill="1" applyBorder="1"/>
    <xf numFmtId="0" fontId="0" fillId="0" borderId="0" xfId="0" applyAlignment="1">
      <alignment horizontal="center" vertical="center" wrapText="1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3" fillId="0" borderId="2" xfId="1" applyFont="1" applyBorder="1" applyAlignment="1">
      <alignment horizontal="left"/>
    </xf>
    <xf numFmtId="0" fontId="3" fillId="0" borderId="3" xfId="1" applyFont="1" applyBorder="1" applyAlignment="1">
      <alignment horizontal="left"/>
    </xf>
    <xf numFmtId="0" fontId="3" fillId="0" borderId="4" xfId="1" applyFont="1" applyBorder="1" applyAlignment="1">
      <alignment horizontal="left"/>
    </xf>
    <xf numFmtId="0" fontId="3" fillId="0" borderId="2" xfId="1" applyFont="1" applyBorder="1" applyAlignment="1">
      <alignment horizontal="left" wrapText="1"/>
    </xf>
    <xf numFmtId="0" fontId="3" fillId="0" borderId="3" xfId="1" applyFont="1" applyBorder="1" applyAlignment="1">
      <alignment horizontal="left" wrapText="1"/>
    </xf>
    <xf numFmtId="0" fontId="3" fillId="0" borderId="4" xfId="1" applyFont="1" applyBorder="1" applyAlignment="1">
      <alignment horizontal="left" wrapText="1"/>
    </xf>
    <xf numFmtId="0" fontId="1" fillId="0" borderId="1" xfId="2" applyBorder="1" applyAlignment="1">
      <alignment horizontal="left"/>
    </xf>
    <xf numFmtId="0" fontId="1" fillId="0" borderId="1" xfId="2" applyFont="1" applyBorder="1" applyAlignment="1">
      <alignment horizontal="left"/>
    </xf>
    <xf numFmtId="0" fontId="1" fillId="0" borderId="1" xfId="2" applyFont="1" applyBorder="1" applyAlignment="1">
      <alignment horizontal="center"/>
    </xf>
    <xf numFmtId="0" fontId="1" fillId="0" borderId="5" xfId="2" applyFont="1" applyBorder="1" applyAlignment="1">
      <alignment horizontal="center"/>
    </xf>
    <xf numFmtId="0" fontId="39" fillId="0" borderId="4" xfId="2" applyFont="1" applyBorder="1" applyAlignment="1">
      <alignment horizontal="center" wrapText="1"/>
    </xf>
    <xf numFmtId="0" fontId="29" fillId="0" borderId="1" xfId="2" applyFont="1" applyBorder="1" applyAlignment="1">
      <alignment horizontal="left"/>
    </xf>
    <xf numFmtId="0" fontId="1" fillId="0" borderId="19" xfId="2" applyBorder="1" applyAlignment="1">
      <alignment horizontal="center"/>
    </xf>
    <xf numFmtId="0" fontId="1" fillId="0" borderId="20" xfId="2" applyBorder="1" applyAlignment="1">
      <alignment horizontal="center"/>
    </xf>
    <xf numFmtId="0" fontId="18" fillId="0" borderId="0" xfId="2" applyFont="1" applyBorder="1" applyAlignment="1">
      <alignment horizontal="center"/>
    </xf>
    <xf numFmtId="0" fontId="11" fillId="0" borderId="1" xfId="2" applyFont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1" fillId="0" borderId="0" xfId="2" applyFont="1" applyBorder="1" applyAlignment="1">
      <alignment horizontal="center" vertical="center" wrapText="1"/>
    </xf>
    <xf numFmtId="0" fontId="22" fillId="0" borderId="0" xfId="2" applyFont="1" applyBorder="1" applyAlignment="1">
      <alignment horizontal="center" wrapText="1"/>
    </xf>
    <xf numFmtId="0" fontId="46" fillId="0" borderId="1" xfId="2" applyFont="1" applyBorder="1" applyAlignment="1">
      <alignment horizontal="center" vertical="center"/>
    </xf>
  </cellXfs>
  <cellStyles count="3">
    <cellStyle name="TableStyleLight1" xfId="1" xr:uid="{00000000-0005-0000-0000-000000000000}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Максимальная пропускная способность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P_out - 0,2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Результат!$B$23:$AG$23</c:f>
              <c:numCache>
                <c:formatCode>General</c:formatCode>
                <c:ptCount val="32"/>
                <c:pt idx="0">
                  <c:v>22605.23</c:v>
                </c:pt>
                <c:pt idx="1">
                  <c:v>26033.26</c:v>
                </c:pt>
                <c:pt idx="2">
                  <c:v>29441.88</c:v>
                </c:pt>
                <c:pt idx="3">
                  <c:v>32400</c:v>
                </c:pt>
                <c:pt idx="4">
                  <c:v>32400</c:v>
                </c:pt>
                <c:pt idx="5">
                  <c:v>32400</c:v>
                </c:pt>
                <c:pt idx="6">
                  <c:v>32400</c:v>
                </c:pt>
                <c:pt idx="7">
                  <c:v>32400</c:v>
                </c:pt>
                <c:pt idx="8">
                  <c:v>32400</c:v>
                </c:pt>
                <c:pt idx="9">
                  <c:v>32400</c:v>
                </c:pt>
                <c:pt idx="10">
                  <c:v>32400</c:v>
                </c:pt>
                <c:pt idx="11">
                  <c:v>32400</c:v>
                </c:pt>
                <c:pt idx="12">
                  <c:v>32400</c:v>
                </c:pt>
                <c:pt idx="13">
                  <c:v>32400</c:v>
                </c:pt>
                <c:pt idx="14">
                  <c:v>32400</c:v>
                </c:pt>
                <c:pt idx="15">
                  <c:v>32400</c:v>
                </c:pt>
                <c:pt idx="16">
                  <c:v>32400</c:v>
                </c:pt>
                <c:pt idx="17">
                  <c:v>32400</c:v>
                </c:pt>
                <c:pt idx="18">
                  <c:v>32400</c:v>
                </c:pt>
                <c:pt idx="19">
                  <c:v>32400</c:v>
                </c:pt>
                <c:pt idx="20">
                  <c:v>32400</c:v>
                </c:pt>
                <c:pt idx="21">
                  <c:v>32400</c:v>
                </c:pt>
                <c:pt idx="22">
                  <c:v>32400</c:v>
                </c:pt>
                <c:pt idx="23">
                  <c:v>32400</c:v>
                </c:pt>
                <c:pt idx="24">
                  <c:v>32400</c:v>
                </c:pt>
                <c:pt idx="25">
                  <c:v>32400</c:v>
                </c:pt>
                <c:pt idx="26">
                  <c:v>32400</c:v>
                </c:pt>
                <c:pt idx="27">
                  <c:v>32400</c:v>
                </c:pt>
                <c:pt idx="28">
                  <c:v>32400</c:v>
                </c:pt>
                <c:pt idx="29">
                  <c:v>32400</c:v>
                </c:pt>
                <c:pt idx="30">
                  <c:v>32400</c:v>
                </c:pt>
                <c:pt idx="31">
                  <c:v>32400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AE-416F-B15D-7AE9145201E2}"/>
            </c:ext>
          </c:extLst>
        </c:ser>
        <c:ser>
          <c:idx val="1"/>
          <c:order val="1"/>
          <c:tx>
            <c:v>P_out - 0,3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Результат!$B$24:$AG$24</c:f>
              <c:numCache>
                <c:formatCode>General</c:formatCode>
                <c:ptCount val="32"/>
                <c:pt idx="0">
                  <c:v>22629.13</c:v>
                </c:pt>
                <c:pt idx="1">
                  <c:v>26060.67</c:v>
                </c:pt>
                <c:pt idx="2">
                  <c:v>29477.89</c:v>
                </c:pt>
                <c:pt idx="3">
                  <c:v>32875.22</c:v>
                </c:pt>
                <c:pt idx="4">
                  <c:v>36263.660000000003</c:v>
                </c:pt>
                <c:pt idx="5">
                  <c:v>39638.19</c:v>
                </c:pt>
                <c:pt idx="6">
                  <c:v>43006.33</c:v>
                </c:pt>
                <c:pt idx="7">
                  <c:v>43328</c:v>
                </c:pt>
                <c:pt idx="8">
                  <c:v>43328</c:v>
                </c:pt>
                <c:pt idx="9">
                  <c:v>43328</c:v>
                </c:pt>
                <c:pt idx="10">
                  <c:v>43328</c:v>
                </c:pt>
                <c:pt idx="11">
                  <c:v>43328</c:v>
                </c:pt>
                <c:pt idx="12">
                  <c:v>43328</c:v>
                </c:pt>
                <c:pt idx="13">
                  <c:v>43328</c:v>
                </c:pt>
                <c:pt idx="14">
                  <c:v>43328</c:v>
                </c:pt>
                <c:pt idx="15">
                  <c:v>43328</c:v>
                </c:pt>
                <c:pt idx="16">
                  <c:v>43328</c:v>
                </c:pt>
                <c:pt idx="17">
                  <c:v>43328</c:v>
                </c:pt>
                <c:pt idx="18">
                  <c:v>43328</c:v>
                </c:pt>
                <c:pt idx="19">
                  <c:v>43328</c:v>
                </c:pt>
                <c:pt idx="20">
                  <c:v>43328</c:v>
                </c:pt>
                <c:pt idx="21">
                  <c:v>43328</c:v>
                </c:pt>
                <c:pt idx="22">
                  <c:v>43328</c:v>
                </c:pt>
                <c:pt idx="23">
                  <c:v>43328</c:v>
                </c:pt>
                <c:pt idx="24">
                  <c:v>43328</c:v>
                </c:pt>
                <c:pt idx="25">
                  <c:v>43328</c:v>
                </c:pt>
                <c:pt idx="26">
                  <c:v>43328</c:v>
                </c:pt>
                <c:pt idx="27">
                  <c:v>43328</c:v>
                </c:pt>
                <c:pt idx="28">
                  <c:v>43328</c:v>
                </c:pt>
                <c:pt idx="29">
                  <c:v>43328</c:v>
                </c:pt>
                <c:pt idx="30">
                  <c:v>43328</c:v>
                </c:pt>
                <c:pt idx="31">
                  <c:v>43328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AE-416F-B15D-7AE9145201E2}"/>
            </c:ext>
          </c:extLst>
        </c:ser>
        <c:ser>
          <c:idx val="2"/>
          <c:order val="2"/>
          <c:tx>
            <c:v>P_out - 0,4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Результат!$B$25:$AG$25</c:f>
              <c:numCache>
                <c:formatCode>General</c:formatCode>
                <c:ptCount val="32"/>
                <c:pt idx="0">
                  <c:v>22653.1</c:v>
                </c:pt>
                <c:pt idx="1">
                  <c:v>26088.16</c:v>
                </c:pt>
                <c:pt idx="2">
                  <c:v>29508.86</c:v>
                </c:pt>
                <c:pt idx="3">
                  <c:v>32915.339999999997</c:v>
                </c:pt>
                <c:pt idx="4">
                  <c:v>36307.730000000003</c:v>
                </c:pt>
                <c:pt idx="5">
                  <c:v>39686.160000000003</c:v>
                </c:pt>
                <c:pt idx="6">
                  <c:v>43050.76</c:v>
                </c:pt>
                <c:pt idx="7">
                  <c:v>46401.67</c:v>
                </c:pt>
                <c:pt idx="8">
                  <c:v>49738.99</c:v>
                </c:pt>
                <c:pt idx="9">
                  <c:v>53071.9</c:v>
                </c:pt>
                <c:pt idx="10">
                  <c:v>54290</c:v>
                </c:pt>
                <c:pt idx="11">
                  <c:v>54290</c:v>
                </c:pt>
                <c:pt idx="12">
                  <c:v>54290</c:v>
                </c:pt>
                <c:pt idx="13">
                  <c:v>54290</c:v>
                </c:pt>
                <c:pt idx="14">
                  <c:v>54290</c:v>
                </c:pt>
                <c:pt idx="15">
                  <c:v>54290</c:v>
                </c:pt>
                <c:pt idx="16">
                  <c:v>54290</c:v>
                </c:pt>
                <c:pt idx="17">
                  <c:v>54290</c:v>
                </c:pt>
                <c:pt idx="18">
                  <c:v>54290</c:v>
                </c:pt>
                <c:pt idx="19">
                  <c:v>54290</c:v>
                </c:pt>
                <c:pt idx="20">
                  <c:v>54290</c:v>
                </c:pt>
                <c:pt idx="21">
                  <c:v>54290</c:v>
                </c:pt>
                <c:pt idx="22">
                  <c:v>54290</c:v>
                </c:pt>
                <c:pt idx="23">
                  <c:v>54290</c:v>
                </c:pt>
                <c:pt idx="24">
                  <c:v>54290</c:v>
                </c:pt>
                <c:pt idx="25">
                  <c:v>54290</c:v>
                </c:pt>
                <c:pt idx="26">
                  <c:v>54290</c:v>
                </c:pt>
                <c:pt idx="27">
                  <c:v>54290</c:v>
                </c:pt>
                <c:pt idx="28">
                  <c:v>54290</c:v>
                </c:pt>
                <c:pt idx="29">
                  <c:v>54290</c:v>
                </c:pt>
                <c:pt idx="30">
                  <c:v>54290</c:v>
                </c:pt>
                <c:pt idx="31">
                  <c:v>54290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AE-416F-B15D-7AE9145201E2}"/>
            </c:ext>
          </c:extLst>
        </c:ser>
        <c:ser>
          <c:idx val="3"/>
          <c:order val="3"/>
          <c:tx>
            <c:v>P_out - 0,5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Результат!$B$26:$AG$26</c:f>
              <c:numCache>
                <c:formatCode>General</c:formatCode>
                <c:ptCount val="32"/>
                <c:pt idx="0">
                  <c:v>22681.17</c:v>
                </c:pt>
                <c:pt idx="1">
                  <c:v>26115.74</c:v>
                </c:pt>
                <c:pt idx="2">
                  <c:v>29539.93</c:v>
                </c:pt>
                <c:pt idx="3">
                  <c:v>32949.85</c:v>
                </c:pt>
                <c:pt idx="4">
                  <c:v>36345.64</c:v>
                </c:pt>
                <c:pt idx="5">
                  <c:v>39727.42</c:v>
                </c:pt>
                <c:pt idx="6">
                  <c:v>43095.34</c:v>
                </c:pt>
                <c:pt idx="7">
                  <c:v>46449.51</c:v>
                </c:pt>
                <c:pt idx="8">
                  <c:v>49790.07</c:v>
                </c:pt>
                <c:pt idx="9">
                  <c:v>53126.2</c:v>
                </c:pt>
                <c:pt idx="10">
                  <c:v>56440.42</c:v>
                </c:pt>
                <c:pt idx="11">
                  <c:v>59751.51</c:v>
                </c:pt>
                <c:pt idx="12">
                  <c:v>63050.49</c:v>
                </c:pt>
                <c:pt idx="13">
                  <c:v>65319</c:v>
                </c:pt>
                <c:pt idx="14">
                  <c:v>65319</c:v>
                </c:pt>
                <c:pt idx="15">
                  <c:v>65319</c:v>
                </c:pt>
                <c:pt idx="16">
                  <c:v>65319</c:v>
                </c:pt>
                <c:pt idx="17">
                  <c:v>65319</c:v>
                </c:pt>
                <c:pt idx="18">
                  <c:v>65319</c:v>
                </c:pt>
                <c:pt idx="19">
                  <c:v>65319</c:v>
                </c:pt>
                <c:pt idx="20">
                  <c:v>65319</c:v>
                </c:pt>
                <c:pt idx="21">
                  <c:v>65319</c:v>
                </c:pt>
                <c:pt idx="22">
                  <c:v>65319</c:v>
                </c:pt>
                <c:pt idx="23">
                  <c:v>65319</c:v>
                </c:pt>
                <c:pt idx="24">
                  <c:v>65319</c:v>
                </c:pt>
                <c:pt idx="25">
                  <c:v>65319</c:v>
                </c:pt>
                <c:pt idx="26">
                  <c:v>65319</c:v>
                </c:pt>
                <c:pt idx="27">
                  <c:v>65319</c:v>
                </c:pt>
                <c:pt idx="28">
                  <c:v>65319</c:v>
                </c:pt>
                <c:pt idx="29">
                  <c:v>65319</c:v>
                </c:pt>
                <c:pt idx="30">
                  <c:v>65319</c:v>
                </c:pt>
                <c:pt idx="31">
                  <c:v>65319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AE-416F-B15D-7AE9145201E2}"/>
            </c:ext>
          </c:extLst>
        </c:ser>
        <c:ser>
          <c:idx val="4"/>
          <c:order val="4"/>
          <c:tx>
            <c:v>P_out - 0,6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Результат!$B$27:$AG$27</c:f>
              <c:numCache>
                <c:formatCode>General</c:formatCode>
                <c:ptCount val="32"/>
                <c:pt idx="0">
                  <c:v>22705.31</c:v>
                </c:pt>
                <c:pt idx="1">
                  <c:v>26143.41</c:v>
                </c:pt>
                <c:pt idx="2">
                  <c:v>29571.1</c:v>
                </c:pt>
                <c:pt idx="3">
                  <c:v>32984.47</c:v>
                </c:pt>
                <c:pt idx="4">
                  <c:v>36383.660000000003</c:v>
                </c:pt>
                <c:pt idx="5">
                  <c:v>39768.81</c:v>
                </c:pt>
                <c:pt idx="6">
                  <c:v>43140.05</c:v>
                </c:pt>
                <c:pt idx="7">
                  <c:v>46497.5</c:v>
                </c:pt>
                <c:pt idx="8">
                  <c:v>49841.3</c:v>
                </c:pt>
                <c:pt idx="9">
                  <c:v>53180.66</c:v>
                </c:pt>
                <c:pt idx="10">
                  <c:v>56498.04</c:v>
                </c:pt>
                <c:pt idx="11">
                  <c:v>59812.28</c:v>
                </c:pt>
                <c:pt idx="12">
                  <c:v>63114.38</c:v>
                </c:pt>
                <c:pt idx="13">
                  <c:v>66404.45</c:v>
                </c:pt>
                <c:pt idx="14">
                  <c:v>69682.58</c:v>
                </c:pt>
                <c:pt idx="15">
                  <c:v>72948.88</c:v>
                </c:pt>
                <c:pt idx="16">
                  <c:v>76216.12</c:v>
                </c:pt>
                <c:pt idx="17">
                  <c:v>76416</c:v>
                </c:pt>
                <c:pt idx="18">
                  <c:v>76416</c:v>
                </c:pt>
                <c:pt idx="19">
                  <c:v>76416</c:v>
                </c:pt>
                <c:pt idx="20">
                  <c:v>76416</c:v>
                </c:pt>
                <c:pt idx="21">
                  <c:v>76416</c:v>
                </c:pt>
                <c:pt idx="22">
                  <c:v>76416</c:v>
                </c:pt>
                <c:pt idx="23">
                  <c:v>76416</c:v>
                </c:pt>
                <c:pt idx="24">
                  <c:v>76416</c:v>
                </c:pt>
                <c:pt idx="25">
                  <c:v>76416</c:v>
                </c:pt>
                <c:pt idx="26">
                  <c:v>76416</c:v>
                </c:pt>
                <c:pt idx="27">
                  <c:v>76416</c:v>
                </c:pt>
                <c:pt idx="28">
                  <c:v>76416</c:v>
                </c:pt>
                <c:pt idx="29">
                  <c:v>76416</c:v>
                </c:pt>
                <c:pt idx="30">
                  <c:v>76416</c:v>
                </c:pt>
                <c:pt idx="31">
                  <c:v>76416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AE-416F-B15D-7AE9145201E2}"/>
            </c:ext>
          </c:extLst>
        </c:ser>
        <c:ser>
          <c:idx val="5"/>
          <c:order val="5"/>
          <c:tx>
            <c:v>P_out - 0,7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Результат!$B$28:$AG$28</c:f>
              <c:numCache>
                <c:formatCode>General</c:formatCode>
                <c:ptCount val="32"/>
                <c:pt idx="0">
                  <c:v>21307.59</c:v>
                </c:pt>
                <c:pt idx="1">
                  <c:v>26175.81</c:v>
                </c:pt>
                <c:pt idx="2">
                  <c:v>29602.36</c:v>
                </c:pt>
                <c:pt idx="3">
                  <c:v>33019.19</c:v>
                </c:pt>
                <c:pt idx="4">
                  <c:v>36421.81</c:v>
                </c:pt>
                <c:pt idx="5">
                  <c:v>39810.33</c:v>
                </c:pt>
                <c:pt idx="6">
                  <c:v>43184.9</c:v>
                </c:pt>
                <c:pt idx="7">
                  <c:v>46545.65</c:v>
                </c:pt>
                <c:pt idx="8">
                  <c:v>49892.69</c:v>
                </c:pt>
                <c:pt idx="9">
                  <c:v>53235.28</c:v>
                </c:pt>
                <c:pt idx="10">
                  <c:v>56555.839999999997</c:v>
                </c:pt>
                <c:pt idx="11">
                  <c:v>59873.24</c:v>
                </c:pt>
                <c:pt idx="12">
                  <c:v>63178.47</c:v>
                </c:pt>
                <c:pt idx="13">
                  <c:v>66471.63</c:v>
                </c:pt>
                <c:pt idx="14">
                  <c:v>69752.820000000007</c:v>
                </c:pt>
                <c:pt idx="15">
                  <c:v>73022.13</c:v>
                </c:pt>
                <c:pt idx="16">
                  <c:v>76292.399999999994</c:v>
                </c:pt>
                <c:pt idx="17">
                  <c:v>79538.759999999995</c:v>
                </c:pt>
                <c:pt idx="18">
                  <c:v>82787.240000000005</c:v>
                </c:pt>
                <c:pt idx="19">
                  <c:v>86039.42</c:v>
                </c:pt>
                <c:pt idx="20">
                  <c:v>87581</c:v>
                </c:pt>
                <c:pt idx="21">
                  <c:v>87581</c:v>
                </c:pt>
                <c:pt idx="22">
                  <c:v>87581</c:v>
                </c:pt>
                <c:pt idx="23">
                  <c:v>87581</c:v>
                </c:pt>
                <c:pt idx="24">
                  <c:v>87581</c:v>
                </c:pt>
                <c:pt idx="25">
                  <c:v>87581</c:v>
                </c:pt>
                <c:pt idx="26">
                  <c:v>87581</c:v>
                </c:pt>
                <c:pt idx="27">
                  <c:v>87581</c:v>
                </c:pt>
                <c:pt idx="28">
                  <c:v>87581</c:v>
                </c:pt>
                <c:pt idx="29">
                  <c:v>87581</c:v>
                </c:pt>
                <c:pt idx="30">
                  <c:v>87581</c:v>
                </c:pt>
                <c:pt idx="31">
                  <c:v>87581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FAE-416F-B15D-7AE9145201E2}"/>
            </c:ext>
          </c:extLst>
        </c:ser>
        <c:ser>
          <c:idx val="6"/>
          <c:order val="6"/>
          <c:tx>
            <c:v>P_out - 0,8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Результат!$B$29:$AG$29</c:f>
              <c:numCache>
                <c:formatCode>General</c:formatCode>
                <c:ptCount val="32"/>
                <c:pt idx="0">
                  <c:v>19900.150000000001</c:v>
                </c:pt>
                <c:pt idx="1">
                  <c:v>24833.72</c:v>
                </c:pt>
                <c:pt idx="2">
                  <c:v>29638.959999999999</c:v>
                </c:pt>
                <c:pt idx="3">
                  <c:v>33054.03</c:v>
                </c:pt>
                <c:pt idx="4">
                  <c:v>36460.07</c:v>
                </c:pt>
                <c:pt idx="5">
                  <c:v>39851.980000000003</c:v>
                </c:pt>
                <c:pt idx="6">
                  <c:v>43229.89</c:v>
                </c:pt>
                <c:pt idx="7">
                  <c:v>46593.94</c:v>
                </c:pt>
                <c:pt idx="8">
                  <c:v>49952.85</c:v>
                </c:pt>
                <c:pt idx="9">
                  <c:v>53290.080000000002</c:v>
                </c:pt>
                <c:pt idx="10">
                  <c:v>56613.82</c:v>
                </c:pt>
                <c:pt idx="11">
                  <c:v>59934.39</c:v>
                </c:pt>
                <c:pt idx="12">
                  <c:v>63242.75</c:v>
                </c:pt>
                <c:pt idx="13">
                  <c:v>66539.009999999995</c:v>
                </c:pt>
                <c:pt idx="14">
                  <c:v>69823.259999999995</c:v>
                </c:pt>
                <c:pt idx="15">
                  <c:v>73095.61</c:v>
                </c:pt>
                <c:pt idx="16">
                  <c:v>76368.91</c:v>
                </c:pt>
                <c:pt idx="17">
                  <c:v>79618.23</c:v>
                </c:pt>
                <c:pt idx="18">
                  <c:v>82869.69</c:v>
                </c:pt>
                <c:pt idx="19">
                  <c:v>86110.59</c:v>
                </c:pt>
                <c:pt idx="20">
                  <c:v>89341.02</c:v>
                </c:pt>
                <c:pt idx="21">
                  <c:v>92561.05</c:v>
                </c:pt>
                <c:pt idx="22">
                  <c:v>95802.16</c:v>
                </c:pt>
                <c:pt idx="23">
                  <c:v>99002.57</c:v>
                </c:pt>
                <c:pt idx="24">
                  <c:v>99019</c:v>
                </c:pt>
                <c:pt idx="25">
                  <c:v>99019</c:v>
                </c:pt>
                <c:pt idx="26">
                  <c:v>99019</c:v>
                </c:pt>
                <c:pt idx="27">
                  <c:v>99019</c:v>
                </c:pt>
                <c:pt idx="28">
                  <c:v>97108</c:v>
                </c:pt>
                <c:pt idx="29">
                  <c:v>95058</c:v>
                </c:pt>
                <c:pt idx="30">
                  <c:v>93093</c:v>
                </c:pt>
                <c:pt idx="31">
                  <c:v>91672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AE-416F-B15D-7AE9145201E2}"/>
            </c:ext>
          </c:extLst>
        </c:ser>
        <c:ser>
          <c:idx val="7"/>
          <c:order val="7"/>
          <c:tx>
            <c:v>P_out - 0,9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Результат!$B$30:$AG$30</c:f>
              <c:numCache>
                <c:formatCode>General</c:formatCode>
                <c:ptCount val="32"/>
                <c:pt idx="0">
                  <c:v>17964.86</c:v>
                </c:pt>
                <c:pt idx="1">
                  <c:v>23548.400000000001</c:v>
                </c:pt>
                <c:pt idx="2">
                  <c:v>28339.11</c:v>
                </c:pt>
                <c:pt idx="3">
                  <c:v>33088.980000000003</c:v>
                </c:pt>
                <c:pt idx="4">
                  <c:v>36498.46</c:v>
                </c:pt>
                <c:pt idx="5">
                  <c:v>39893.760000000002</c:v>
                </c:pt>
                <c:pt idx="6">
                  <c:v>43275.03</c:v>
                </c:pt>
                <c:pt idx="7">
                  <c:v>46642.38</c:v>
                </c:pt>
                <c:pt idx="8">
                  <c:v>50004.59</c:v>
                </c:pt>
                <c:pt idx="9">
                  <c:v>53345.05</c:v>
                </c:pt>
                <c:pt idx="10">
                  <c:v>56671.97</c:v>
                </c:pt>
                <c:pt idx="11">
                  <c:v>59995.72</c:v>
                </c:pt>
                <c:pt idx="12">
                  <c:v>63307.23</c:v>
                </c:pt>
                <c:pt idx="13">
                  <c:v>66606.600000000006</c:v>
                </c:pt>
                <c:pt idx="14">
                  <c:v>69893.919999999998</c:v>
                </c:pt>
                <c:pt idx="15">
                  <c:v>73169.3</c:v>
                </c:pt>
                <c:pt idx="16">
                  <c:v>76445.649999999994</c:v>
                </c:pt>
                <c:pt idx="17">
                  <c:v>79697.94</c:v>
                </c:pt>
                <c:pt idx="18">
                  <c:v>82952.38</c:v>
                </c:pt>
                <c:pt idx="19">
                  <c:v>86196.23</c:v>
                </c:pt>
                <c:pt idx="20">
                  <c:v>89429.58</c:v>
                </c:pt>
                <c:pt idx="21">
                  <c:v>92652.5</c:v>
                </c:pt>
                <c:pt idx="22">
                  <c:v>95880.81</c:v>
                </c:pt>
                <c:pt idx="23">
                  <c:v>99099.81</c:v>
                </c:pt>
                <c:pt idx="24">
                  <c:v>102309.54</c:v>
                </c:pt>
                <c:pt idx="25">
                  <c:v>105064</c:v>
                </c:pt>
                <c:pt idx="26">
                  <c:v>102656</c:v>
                </c:pt>
                <c:pt idx="27">
                  <c:v>100075</c:v>
                </c:pt>
                <c:pt idx="28">
                  <c:v>98156</c:v>
                </c:pt>
                <c:pt idx="29">
                  <c:v>96051</c:v>
                </c:pt>
                <c:pt idx="30">
                  <c:v>94034</c:v>
                </c:pt>
                <c:pt idx="31">
                  <c:v>92576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FAE-416F-B15D-7AE9145201E2}"/>
            </c:ext>
          </c:extLst>
        </c:ser>
        <c:ser>
          <c:idx val="8"/>
          <c:order val="8"/>
          <c:tx>
            <c:v>P_out - 1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Результат!$B$31:$AG$31</c:f>
              <c:numCache>
                <c:formatCode>General</c:formatCode>
                <c:ptCount val="32"/>
                <c:pt idx="0">
                  <c:v>15269</c:v>
                </c:pt>
                <c:pt idx="1">
                  <c:v>21849.72</c:v>
                </c:pt>
                <c:pt idx="2">
                  <c:v>27142.84</c:v>
                </c:pt>
                <c:pt idx="3">
                  <c:v>31828.33</c:v>
                </c:pt>
                <c:pt idx="4">
                  <c:v>36543.39</c:v>
                </c:pt>
                <c:pt idx="5">
                  <c:v>39935.67</c:v>
                </c:pt>
                <c:pt idx="6">
                  <c:v>43320.3</c:v>
                </c:pt>
                <c:pt idx="7">
                  <c:v>46690.98</c:v>
                </c:pt>
                <c:pt idx="8">
                  <c:v>50056.49</c:v>
                </c:pt>
                <c:pt idx="9">
                  <c:v>53400.19</c:v>
                </c:pt>
                <c:pt idx="10">
                  <c:v>56730.31</c:v>
                </c:pt>
                <c:pt idx="11">
                  <c:v>60057.25</c:v>
                </c:pt>
                <c:pt idx="12">
                  <c:v>63371.91</c:v>
                </c:pt>
                <c:pt idx="13">
                  <c:v>66674.39</c:v>
                </c:pt>
                <c:pt idx="14">
                  <c:v>69952.97</c:v>
                </c:pt>
                <c:pt idx="15">
                  <c:v>73243.23</c:v>
                </c:pt>
                <c:pt idx="16">
                  <c:v>76509.78</c:v>
                </c:pt>
                <c:pt idx="17">
                  <c:v>79777.89</c:v>
                </c:pt>
                <c:pt idx="18">
                  <c:v>83035.320000000007</c:v>
                </c:pt>
                <c:pt idx="19">
                  <c:v>86282.13</c:v>
                </c:pt>
                <c:pt idx="20">
                  <c:v>89518.399999999994</c:v>
                </c:pt>
                <c:pt idx="21">
                  <c:v>92744.22</c:v>
                </c:pt>
                <c:pt idx="22">
                  <c:v>95975.45</c:v>
                </c:pt>
                <c:pt idx="23">
                  <c:v>99181.06</c:v>
                </c:pt>
                <c:pt idx="24">
                  <c:v>102393.17</c:v>
                </c:pt>
                <c:pt idx="25">
                  <c:v>105613.3</c:v>
                </c:pt>
                <c:pt idx="26">
                  <c:v>103573</c:v>
                </c:pt>
                <c:pt idx="27">
                  <c:v>101219</c:v>
                </c:pt>
                <c:pt idx="28">
                  <c:v>98969</c:v>
                </c:pt>
                <c:pt idx="29">
                  <c:v>96818</c:v>
                </c:pt>
                <c:pt idx="30">
                  <c:v>94758</c:v>
                </c:pt>
                <c:pt idx="31">
                  <c:v>93269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FAE-416F-B15D-7AE9145201E2}"/>
            </c:ext>
          </c:extLst>
        </c:ser>
        <c:ser>
          <c:idx val="9"/>
          <c:order val="9"/>
          <c:tx>
            <c:v>P_out - 1,1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Результат!$B$32:$AG$32</c:f>
              <c:numCache>
                <c:formatCode>General</c:formatCode>
                <c:ptCount val="32"/>
                <c:pt idx="0">
                  <c:v>11632.91</c:v>
                </c:pt>
                <c:pt idx="1">
                  <c:v>19605.79</c:v>
                </c:pt>
                <c:pt idx="2">
                  <c:v>25606.7</c:v>
                </c:pt>
                <c:pt idx="3">
                  <c:v>30700.34</c:v>
                </c:pt>
                <c:pt idx="4">
                  <c:v>35304.1</c:v>
                </c:pt>
                <c:pt idx="5">
                  <c:v>39977.72</c:v>
                </c:pt>
                <c:pt idx="6">
                  <c:v>43365.72</c:v>
                </c:pt>
                <c:pt idx="7">
                  <c:v>46747.86</c:v>
                </c:pt>
                <c:pt idx="8">
                  <c:v>50108.55</c:v>
                </c:pt>
                <c:pt idx="9">
                  <c:v>53455.49</c:v>
                </c:pt>
                <c:pt idx="10">
                  <c:v>56788.82</c:v>
                </c:pt>
                <c:pt idx="11">
                  <c:v>60118.96</c:v>
                </c:pt>
                <c:pt idx="12">
                  <c:v>63436.78</c:v>
                </c:pt>
                <c:pt idx="13">
                  <c:v>66742.39</c:v>
                </c:pt>
                <c:pt idx="14">
                  <c:v>70024.02</c:v>
                </c:pt>
                <c:pt idx="15">
                  <c:v>73317.37</c:v>
                </c:pt>
                <c:pt idx="16">
                  <c:v>76586.94</c:v>
                </c:pt>
                <c:pt idx="17">
                  <c:v>79858.09</c:v>
                </c:pt>
                <c:pt idx="18">
                  <c:v>83104.62</c:v>
                </c:pt>
                <c:pt idx="19">
                  <c:v>86353.9</c:v>
                </c:pt>
                <c:pt idx="20">
                  <c:v>89592.62</c:v>
                </c:pt>
                <c:pt idx="21">
                  <c:v>92820.86</c:v>
                </c:pt>
                <c:pt idx="22">
                  <c:v>96070.36</c:v>
                </c:pt>
                <c:pt idx="23">
                  <c:v>99278.82</c:v>
                </c:pt>
                <c:pt idx="24">
                  <c:v>102493.81</c:v>
                </c:pt>
                <c:pt idx="25">
                  <c:v>105699.55</c:v>
                </c:pt>
                <c:pt idx="26">
                  <c:v>104811</c:v>
                </c:pt>
                <c:pt idx="27">
                  <c:v>102394</c:v>
                </c:pt>
                <c:pt idx="28">
                  <c:v>100087</c:v>
                </c:pt>
                <c:pt idx="29">
                  <c:v>97881</c:v>
                </c:pt>
                <c:pt idx="30">
                  <c:v>95770</c:v>
                </c:pt>
                <c:pt idx="31">
                  <c:v>94246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FAE-416F-B15D-7AE9145201E2}"/>
            </c:ext>
          </c:extLst>
        </c:ser>
        <c:ser>
          <c:idx val="10"/>
          <c:order val="10"/>
          <c:tx>
            <c:v>P_out - 1,2</c:v>
          </c:tx>
          <c:marker>
            <c:symbol val="none"/>
          </c:marker>
          <c:cat>
            <c:numRef>
              <c:f>Результат!$B$22:$AG$22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Результат!$B$33:$AG$33</c:f>
              <c:numCache>
                <c:formatCode>General</c:formatCode>
                <c:ptCount val="32"/>
                <c:pt idx="0">
                  <c:v>0</c:v>
                </c:pt>
                <c:pt idx="1">
                  <c:v>16570.22</c:v>
                </c:pt>
                <c:pt idx="2">
                  <c:v>23646.23</c:v>
                </c:pt>
                <c:pt idx="3">
                  <c:v>29283.7</c:v>
                </c:pt>
                <c:pt idx="4">
                  <c:v>34230.449999999997</c:v>
                </c:pt>
                <c:pt idx="5">
                  <c:v>38768.17</c:v>
                </c:pt>
                <c:pt idx="6">
                  <c:v>43418.89</c:v>
                </c:pt>
                <c:pt idx="7">
                  <c:v>46796.79</c:v>
                </c:pt>
                <c:pt idx="8">
                  <c:v>50160.77</c:v>
                </c:pt>
                <c:pt idx="9">
                  <c:v>53510.97</c:v>
                </c:pt>
                <c:pt idx="10">
                  <c:v>56847.519999999997</c:v>
                </c:pt>
                <c:pt idx="11">
                  <c:v>60180.87</c:v>
                </c:pt>
                <c:pt idx="12">
                  <c:v>63501.86</c:v>
                </c:pt>
                <c:pt idx="13">
                  <c:v>66810.600000000006</c:v>
                </c:pt>
                <c:pt idx="14">
                  <c:v>70095.289999999994</c:v>
                </c:pt>
                <c:pt idx="15">
                  <c:v>73379.33</c:v>
                </c:pt>
                <c:pt idx="16">
                  <c:v>76664.34</c:v>
                </c:pt>
                <c:pt idx="17">
                  <c:v>79938.52</c:v>
                </c:pt>
                <c:pt idx="18">
                  <c:v>83188.02</c:v>
                </c:pt>
                <c:pt idx="19">
                  <c:v>86440.27</c:v>
                </c:pt>
                <c:pt idx="20">
                  <c:v>89681.93</c:v>
                </c:pt>
                <c:pt idx="21">
                  <c:v>92913.08</c:v>
                </c:pt>
                <c:pt idx="22">
                  <c:v>96149.68</c:v>
                </c:pt>
                <c:pt idx="23">
                  <c:v>99360.51</c:v>
                </c:pt>
                <c:pt idx="24">
                  <c:v>102577.89</c:v>
                </c:pt>
                <c:pt idx="25">
                  <c:v>105803.32</c:v>
                </c:pt>
                <c:pt idx="26">
                  <c:v>106114</c:v>
                </c:pt>
                <c:pt idx="27">
                  <c:v>103322</c:v>
                </c:pt>
                <c:pt idx="28">
                  <c:v>101250</c:v>
                </c:pt>
                <c:pt idx="29">
                  <c:v>98704</c:v>
                </c:pt>
                <c:pt idx="30">
                  <c:v>96811</c:v>
                </c:pt>
                <c:pt idx="31">
                  <c:v>94990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FAE-416F-B15D-7AE9145201E2}"/>
            </c:ext>
          </c:extLst>
        </c:ser>
        <c:ser>
          <c:idx val="11"/>
          <c:order val="11"/>
          <c:tx>
            <c:v/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cat>
            <c:numLit>
              <c:formatCode>General</c:formatCode>
              <c:ptCount val="2"/>
              <c:pt idx="0">
                <c:v>1.2</c:v>
              </c:pt>
              <c:pt idx="1">
                <c:v>7.4</c:v>
              </c:pt>
            </c:num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2FAE-416F-B15D-7AE914520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449120"/>
        <c:axId val="862449776"/>
      </c:lineChart>
      <c:catAx>
        <c:axId val="862449120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Входное давление - </a:t>
                </a:r>
                <a:r>
                  <a:rPr lang="en-US"/>
                  <a:t>P_in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2449776"/>
        <c:crosses val="autoZero"/>
        <c:auto val="1"/>
        <c:lblAlgn val="ctr"/>
        <c:lblOffset val="100"/>
        <c:noMultiLvlLbl val="0"/>
      </c:catAx>
      <c:valAx>
        <c:axId val="862449776"/>
        <c:scaling>
          <c:orientation val="minMax"/>
          <c:max val="80000"/>
          <c:min val="2000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Расход - </a:t>
                </a:r>
                <a:r>
                  <a:rPr lang="en-US"/>
                  <a:t>Q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2449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Перепад температур при изменение давления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P_out - 0,2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расчет'!$AT$12:$BY$12</c:f>
              <c:numCache>
                <c:formatCode>General</c:formatCode>
                <c:ptCount val="32"/>
                <c:pt idx="0">
                  <c:v>11.2</c:v>
                </c:pt>
                <c:pt idx="1">
                  <c:v>12.4</c:v>
                </c:pt>
                <c:pt idx="2">
                  <c:v>13.7</c:v>
                </c:pt>
                <c:pt idx="3">
                  <c:v>14.9</c:v>
                </c:pt>
                <c:pt idx="4">
                  <c:v>16.100000000000001</c:v>
                </c:pt>
                <c:pt idx="5">
                  <c:v>17.3</c:v>
                </c:pt>
                <c:pt idx="6">
                  <c:v>18.5</c:v>
                </c:pt>
                <c:pt idx="7">
                  <c:v>19.600000000000001</c:v>
                </c:pt>
                <c:pt idx="8">
                  <c:v>20.8</c:v>
                </c:pt>
                <c:pt idx="9">
                  <c:v>21.9</c:v>
                </c:pt>
                <c:pt idx="10">
                  <c:v>23.1</c:v>
                </c:pt>
                <c:pt idx="11">
                  <c:v>24.2</c:v>
                </c:pt>
                <c:pt idx="12">
                  <c:v>25.3</c:v>
                </c:pt>
                <c:pt idx="13">
                  <c:v>26.4</c:v>
                </c:pt>
                <c:pt idx="14">
                  <c:v>27.5</c:v>
                </c:pt>
                <c:pt idx="15">
                  <c:v>28.5</c:v>
                </c:pt>
                <c:pt idx="16">
                  <c:v>29.5</c:v>
                </c:pt>
                <c:pt idx="17">
                  <c:v>30.6</c:v>
                </c:pt>
                <c:pt idx="18">
                  <c:v>31.6</c:v>
                </c:pt>
                <c:pt idx="19">
                  <c:v>32.5</c:v>
                </c:pt>
                <c:pt idx="20">
                  <c:v>33.5</c:v>
                </c:pt>
                <c:pt idx="21">
                  <c:v>34.5</c:v>
                </c:pt>
                <c:pt idx="22">
                  <c:v>35.299999999999997</c:v>
                </c:pt>
                <c:pt idx="23">
                  <c:v>36.200000000000003</c:v>
                </c:pt>
                <c:pt idx="24">
                  <c:v>37.1</c:v>
                </c:pt>
                <c:pt idx="25">
                  <c:v>37.9</c:v>
                </c:pt>
                <c:pt idx="26">
                  <c:v>38.799999999999997</c:v>
                </c:pt>
                <c:pt idx="27">
                  <c:v>39.6</c:v>
                </c:pt>
                <c:pt idx="28">
                  <c:v>40.299999999999997</c:v>
                </c:pt>
                <c:pt idx="29">
                  <c:v>41.1</c:v>
                </c:pt>
                <c:pt idx="30">
                  <c:v>41.8</c:v>
                </c:pt>
                <c:pt idx="31">
                  <c:v>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48-4F10-BDCD-BE2C04B5479E}"/>
            </c:ext>
          </c:extLst>
        </c:ser>
        <c:ser>
          <c:idx val="1"/>
          <c:order val="1"/>
          <c:tx>
            <c:v>P_out - 0,3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расчет'!$AT$13:$BY$13</c:f>
              <c:numCache>
                <c:formatCode>General</c:formatCode>
                <c:ptCount val="32"/>
                <c:pt idx="0">
                  <c:v>10.6</c:v>
                </c:pt>
                <c:pt idx="1">
                  <c:v>11.8</c:v>
                </c:pt>
                <c:pt idx="2">
                  <c:v>13</c:v>
                </c:pt>
                <c:pt idx="3">
                  <c:v>14.3</c:v>
                </c:pt>
                <c:pt idx="4">
                  <c:v>15.5</c:v>
                </c:pt>
                <c:pt idx="5">
                  <c:v>16.7</c:v>
                </c:pt>
                <c:pt idx="6">
                  <c:v>17.8</c:v>
                </c:pt>
                <c:pt idx="7">
                  <c:v>19</c:v>
                </c:pt>
                <c:pt idx="8">
                  <c:v>20.2</c:v>
                </c:pt>
                <c:pt idx="9">
                  <c:v>21.3</c:v>
                </c:pt>
                <c:pt idx="10">
                  <c:v>22.5</c:v>
                </c:pt>
                <c:pt idx="11">
                  <c:v>23.6</c:v>
                </c:pt>
                <c:pt idx="12">
                  <c:v>24.7</c:v>
                </c:pt>
                <c:pt idx="13">
                  <c:v>25.8</c:v>
                </c:pt>
                <c:pt idx="14">
                  <c:v>26.9</c:v>
                </c:pt>
                <c:pt idx="15">
                  <c:v>28</c:v>
                </c:pt>
                <c:pt idx="16">
                  <c:v>28.9</c:v>
                </c:pt>
                <c:pt idx="17">
                  <c:v>30</c:v>
                </c:pt>
                <c:pt idx="18">
                  <c:v>31</c:v>
                </c:pt>
                <c:pt idx="19">
                  <c:v>31.9</c:v>
                </c:pt>
                <c:pt idx="20">
                  <c:v>32.9</c:v>
                </c:pt>
                <c:pt idx="21">
                  <c:v>33.9</c:v>
                </c:pt>
                <c:pt idx="22">
                  <c:v>34.700000000000003</c:v>
                </c:pt>
                <c:pt idx="23">
                  <c:v>35.700000000000003</c:v>
                </c:pt>
                <c:pt idx="24">
                  <c:v>36.5</c:v>
                </c:pt>
                <c:pt idx="25">
                  <c:v>37.4</c:v>
                </c:pt>
                <c:pt idx="26">
                  <c:v>38.200000000000003</c:v>
                </c:pt>
                <c:pt idx="27">
                  <c:v>39</c:v>
                </c:pt>
                <c:pt idx="28">
                  <c:v>39.700000000000003</c:v>
                </c:pt>
                <c:pt idx="29">
                  <c:v>40.5</c:v>
                </c:pt>
                <c:pt idx="30">
                  <c:v>41.3</c:v>
                </c:pt>
                <c:pt idx="31">
                  <c:v>41.9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48-4F10-BDCD-BE2C04B5479E}"/>
            </c:ext>
          </c:extLst>
        </c:ser>
        <c:ser>
          <c:idx val="2"/>
          <c:order val="2"/>
          <c:tx>
            <c:v>P_out - 0,4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расчет'!$AT$14:$BY$14</c:f>
              <c:numCache>
                <c:formatCode>General</c:formatCode>
                <c:ptCount val="32"/>
                <c:pt idx="0">
                  <c:v>10</c:v>
                </c:pt>
                <c:pt idx="1">
                  <c:v>11.2</c:v>
                </c:pt>
                <c:pt idx="2">
                  <c:v>12.4</c:v>
                </c:pt>
                <c:pt idx="3">
                  <c:v>13.6</c:v>
                </c:pt>
                <c:pt idx="4">
                  <c:v>14.8</c:v>
                </c:pt>
                <c:pt idx="5">
                  <c:v>16</c:v>
                </c:pt>
                <c:pt idx="6">
                  <c:v>17.2</c:v>
                </c:pt>
                <c:pt idx="7">
                  <c:v>18.399999999999999</c:v>
                </c:pt>
                <c:pt idx="8">
                  <c:v>19.600000000000001</c:v>
                </c:pt>
                <c:pt idx="9">
                  <c:v>20.7</c:v>
                </c:pt>
                <c:pt idx="10">
                  <c:v>21.9</c:v>
                </c:pt>
                <c:pt idx="11">
                  <c:v>23</c:v>
                </c:pt>
                <c:pt idx="12">
                  <c:v>24.1</c:v>
                </c:pt>
                <c:pt idx="13">
                  <c:v>25.2</c:v>
                </c:pt>
                <c:pt idx="14">
                  <c:v>26.3</c:v>
                </c:pt>
                <c:pt idx="15">
                  <c:v>27.4</c:v>
                </c:pt>
                <c:pt idx="16">
                  <c:v>28.4</c:v>
                </c:pt>
                <c:pt idx="17">
                  <c:v>29.4</c:v>
                </c:pt>
                <c:pt idx="18">
                  <c:v>30.4</c:v>
                </c:pt>
                <c:pt idx="19">
                  <c:v>31.4</c:v>
                </c:pt>
                <c:pt idx="20">
                  <c:v>32.4</c:v>
                </c:pt>
                <c:pt idx="21">
                  <c:v>33.299999999999997</c:v>
                </c:pt>
                <c:pt idx="22">
                  <c:v>34.200000000000003</c:v>
                </c:pt>
                <c:pt idx="23">
                  <c:v>35.1</c:v>
                </c:pt>
                <c:pt idx="24">
                  <c:v>36</c:v>
                </c:pt>
                <c:pt idx="25">
                  <c:v>36.799999999999997</c:v>
                </c:pt>
                <c:pt idx="26">
                  <c:v>37.700000000000003</c:v>
                </c:pt>
                <c:pt idx="27">
                  <c:v>38.5</c:v>
                </c:pt>
                <c:pt idx="28">
                  <c:v>39.200000000000003</c:v>
                </c:pt>
                <c:pt idx="29">
                  <c:v>40</c:v>
                </c:pt>
                <c:pt idx="30">
                  <c:v>40.799999999999997</c:v>
                </c:pt>
                <c:pt idx="31">
                  <c:v>41.3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48-4F10-BDCD-BE2C04B5479E}"/>
            </c:ext>
          </c:extLst>
        </c:ser>
        <c:ser>
          <c:idx val="3"/>
          <c:order val="3"/>
          <c:tx>
            <c:v>P_out - 0,5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расчет'!$AT$15:$BY$15</c:f>
              <c:numCache>
                <c:formatCode>General</c:formatCode>
                <c:ptCount val="32"/>
                <c:pt idx="0">
                  <c:v>9.3000000000000007</c:v>
                </c:pt>
                <c:pt idx="1">
                  <c:v>10.6</c:v>
                </c:pt>
                <c:pt idx="2">
                  <c:v>11.8</c:v>
                </c:pt>
                <c:pt idx="3">
                  <c:v>13</c:v>
                </c:pt>
                <c:pt idx="4">
                  <c:v>14.2</c:v>
                </c:pt>
                <c:pt idx="5">
                  <c:v>15.4</c:v>
                </c:pt>
                <c:pt idx="6">
                  <c:v>16.600000000000001</c:v>
                </c:pt>
                <c:pt idx="7">
                  <c:v>17.8</c:v>
                </c:pt>
                <c:pt idx="8">
                  <c:v>19</c:v>
                </c:pt>
                <c:pt idx="9">
                  <c:v>20.100000000000001</c:v>
                </c:pt>
                <c:pt idx="10">
                  <c:v>21.3</c:v>
                </c:pt>
                <c:pt idx="11">
                  <c:v>22.4</c:v>
                </c:pt>
                <c:pt idx="12">
                  <c:v>23.5</c:v>
                </c:pt>
                <c:pt idx="13">
                  <c:v>24.6</c:v>
                </c:pt>
                <c:pt idx="14">
                  <c:v>25.7</c:v>
                </c:pt>
                <c:pt idx="15">
                  <c:v>26.8</c:v>
                </c:pt>
                <c:pt idx="16">
                  <c:v>27.8</c:v>
                </c:pt>
                <c:pt idx="17">
                  <c:v>28.8</c:v>
                </c:pt>
                <c:pt idx="18">
                  <c:v>29.8</c:v>
                </c:pt>
                <c:pt idx="19">
                  <c:v>30.8</c:v>
                </c:pt>
                <c:pt idx="20">
                  <c:v>31.8</c:v>
                </c:pt>
                <c:pt idx="21">
                  <c:v>32.799999999999997</c:v>
                </c:pt>
                <c:pt idx="22">
                  <c:v>33.6</c:v>
                </c:pt>
                <c:pt idx="23">
                  <c:v>34.6</c:v>
                </c:pt>
                <c:pt idx="24">
                  <c:v>35.4</c:v>
                </c:pt>
                <c:pt idx="25">
                  <c:v>36.299999999999997</c:v>
                </c:pt>
                <c:pt idx="26">
                  <c:v>37.1</c:v>
                </c:pt>
                <c:pt idx="27">
                  <c:v>37.9</c:v>
                </c:pt>
                <c:pt idx="28">
                  <c:v>38.700000000000003</c:v>
                </c:pt>
                <c:pt idx="29">
                  <c:v>39.5</c:v>
                </c:pt>
                <c:pt idx="30">
                  <c:v>40.200000000000003</c:v>
                </c:pt>
                <c:pt idx="31">
                  <c:v>40.799999999999997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48-4F10-BDCD-BE2C04B5479E}"/>
            </c:ext>
          </c:extLst>
        </c:ser>
        <c:ser>
          <c:idx val="4"/>
          <c:order val="4"/>
          <c:tx>
            <c:v>P_out - 0,6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расчет'!$AT$16:$BY$16</c:f>
              <c:numCache>
                <c:formatCode>General</c:formatCode>
                <c:ptCount val="32"/>
                <c:pt idx="0">
                  <c:v>8.6999999999999993</c:v>
                </c:pt>
                <c:pt idx="1">
                  <c:v>10</c:v>
                </c:pt>
                <c:pt idx="2">
                  <c:v>11.2</c:v>
                </c:pt>
                <c:pt idx="3">
                  <c:v>12.4</c:v>
                </c:pt>
                <c:pt idx="4">
                  <c:v>13.6</c:v>
                </c:pt>
                <c:pt idx="5">
                  <c:v>14.8</c:v>
                </c:pt>
                <c:pt idx="6">
                  <c:v>16</c:v>
                </c:pt>
                <c:pt idx="7">
                  <c:v>17.2</c:v>
                </c:pt>
                <c:pt idx="8">
                  <c:v>18.399999999999999</c:v>
                </c:pt>
                <c:pt idx="9">
                  <c:v>19.5</c:v>
                </c:pt>
                <c:pt idx="10">
                  <c:v>20.7</c:v>
                </c:pt>
                <c:pt idx="11">
                  <c:v>21.8</c:v>
                </c:pt>
                <c:pt idx="12">
                  <c:v>22.9</c:v>
                </c:pt>
                <c:pt idx="13">
                  <c:v>24</c:v>
                </c:pt>
                <c:pt idx="14">
                  <c:v>25.1</c:v>
                </c:pt>
                <c:pt idx="15">
                  <c:v>26.2</c:v>
                </c:pt>
                <c:pt idx="16">
                  <c:v>27.2</c:v>
                </c:pt>
                <c:pt idx="17">
                  <c:v>28.2</c:v>
                </c:pt>
                <c:pt idx="18">
                  <c:v>29.3</c:v>
                </c:pt>
                <c:pt idx="19">
                  <c:v>30.2</c:v>
                </c:pt>
                <c:pt idx="20">
                  <c:v>31.2</c:v>
                </c:pt>
                <c:pt idx="21">
                  <c:v>32.200000000000003</c:v>
                </c:pt>
                <c:pt idx="22">
                  <c:v>33.1</c:v>
                </c:pt>
                <c:pt idx="23">
                  <c:v>34</c:v>
                </c:pt>
                <c:pt idx="24">
                  <c:v>34.9</c:v>
                </c:pt>
                <c:pt idx="25">
                  <c:v>35.700000000000003</c:v>
                </c:pt>
                <c:pt idx="26">
                  <c:v>36.6</c:v>
                </c:pt>
                <c:pt idx="27">
                  <c:v>37.4</c:v>
                </c:pt>
                <c:pt idx="28">
                  <c:v>38.1</c:v>
                </c:pt>
                <c:pt idx="29">
                  <c:v>38.9</c:v>
                </c:pt>
                <c:pt idx="30">
                  <c:v>39.700000000000003</c:v>
                </c:pt>
                <c:pt idx="31">
                  <c:v>40.299999999999997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48-4F10-BDCD-BE2C04B5479E}"/>
            </c:ext>
          </c:extLst>
        </c:ser>
        <c:ser>
          <c:idx val="5"/>
          <c:order val="5"/>
          <c:tx>
            <c:v>P_out - 0,7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расчет'!$AT$17:$BY$17</c:f>
              <c:numCache>
                <c:formatCode>General</c:formatCode>
                <c:ptCount val="32"/>
                <c:pt idx="0">
                  <c:v>8.1</c:v>
                </c:pt>
                <c:pt idx="1">
                  <c:v>9.3000000000000007</c:v>
                </c:pt>
                <c:pt idx="2">
                  <c:v>10.6</c:v>
                </c:pt>
                <c:pt idx="3">
                  <c:v>11.8</c:v>
                </c:pt>
                <c:pt idx="4">
                  <c:v>13</c:v>
                </c:pt>
                <c:pt idx="5">
                  <c:v>14.2</c:v>
                </c:pt>
                <c:pt idx="6">
                  <c:v>15.4</c:v>
                </c:pt>
                <c:pt idx="7">
                  <c:v>16.600000000000001</c:v>
                </c:pt>
                <c:pt idx="8">
                  <c:v>17.8</c:v>
                </c:pt>
                <c:pt idx="9">
                  <c:v>18.899999999999999</c:v>
                </c:pt>
                <c:pt idx="10">
                  <c:v>20.100000000000001</c:v>
                </c:pt>
                <c:pt idx="11">
                  <c:v>21.2</c:v>
                </c:pt>
                <c:pt idx="12">
                  <c:v>22.3</c:v>
                </c:pt>
                <c:pt idx="13">
                  <c:v>23.4</c:v>
                </c:pt>
                <c:pt idx="14">
                  <c:v>24.5</c:v>
                </c:pt>
                <c:pt idx="15">
                  <c:v>25.6</c:v>
                </c:pt>
                <c:pt idx="16">
                  <c:v>26.6</c:v>
                </c:pt>
                <c:pt idx="17">
                  <c:v>27.7</c:v>
                </c:pt>
                <c:pt idx="18">
                  <c:v>28.7</c:v>
                </c:pt>
                <c:pt idx="19">
                  <c:v>29.6</c:v>
                </c:pt>
                <c:pt idx="20">
                  <c:v>30.6</c:v>
                </c:pt>
                <c:pt idx="21">
                  <c:v>31.6</c:v>
                </c:pt>
                <c:pt idx="22">
                  <c:v>32.5</c:v>
                </c:pt>
                <c:pt idx="23">
                  <c:v>33.4</c:v>
                </c:pt>
                <c:pt idx="24">
                  <c:v>34.299999999999997</c:v>
                </c:pt>
                <c:pt idx="25">
                  <c:v>35.200000000000003</c:v>
                </c:pt>
                <c:pt idx="26">
                  <c:v>36</c:v>
                </c:pt>
                <c:pt idx="27">
                  <c:v>36.9</c:v>
                </c:pt>
                <c:pt idx="28">
                  <c:v>37.6</c:v>
                </c:pt>
                <c:pt idx="29">
                  <c:v>38.4</c:v>
                </c:pt>
                <c:pt idx="30">
                  <c:v>39.200000000000003</c:v>
                </c:pt>
                <c:pt idx="31">
                  <c:v>39.799999999999997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48-4F10-BDCD-BE2C04B5479E}"/>
            </c:ext>
          </c:extLst>
        </c:ser>
        <c:ser>
          <c:idx val="6"/>
          <c:order val="6"/>
          <c:tx>
            <c:v>P_out - 0,8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расчет'!$AT$18:$BY$18</c:f>
              <c:numCache>
                <c:formatCode>General</c:formatCode>
                <c:ptCount val="32"/>
                <c:pt idx="0">
                  <c:v>7.5</c:v>
                </c:pt>
                <c:pt idx="1">
                  <c:v>8.6999999999999993</c:v>
                </c:pt>
                <c:pt idx="2">
                  <c:v>9.9</c:v>
                </c:pt>
                <c:pt idx="3">
                  <c:v>11.2</c:v>
                </c:pt>
                <c:pt idx="4">
                  <c:v>12.4</c:v>
                </c:pt>
                <c:pt idx="5">
                  <c:v>13.6</c:v>
                </c:pt>
                <c:pt idx="6">
                  <c:v>14.8</c:v>
                </c:pt>
                <c:pt idx="7">
                  <c:v>16</c:v>
                </c:pt>
                <c:pt idx="8">
                  <c:v>17.100000000000001</c:v>
                </c:pt>
                <c:pt idx="9">
                  <c:v>18.3</c:v>
                </c:pt>
                <c:pt idx="10">
                  <c:v>19.5</c:v>
                </c:pt>
                <c:pt idx="11">
                  <c:v>20.6</c:v>
                </c:pt>
                <c:pt idx="12">
                  <c:v>21.7</c:v>
                </c:pt>
                <c:pt idx="13">
                  <c:v>22.8</c:v>
                </c:pt>
                <c:pt idx="14">
                  <c:v>23.9</c:v>
                </c:pt>
                <c:pt idx="15">
                  <c:v>25</c:v>
                </c:pt>
                <c:pt idx="16">
                  <c:v>26</c:v>
                </c:pt>
                <c:pt idx="17">
                  <c:v>27.1</c:v>
                </c:pt>
                <c:pt idx="18">
                  <c:v>28.1</c:v>
                </c:pt>
                <c:pt idx="19">
                  <c:v>29.1</c:v>
                </c:pt>
                <c:pt idx="20">
                  <c:v>30.1</c:v>
                </c:pt>
                <c:pt idx="21">
                  <c:v>31.1</c:v>
                </c:pt>
                <c:pt idx="22">
                  <c:v>31.9</c:v>
                </c:pt>
                <c:pt idx="23">
                  <c:v>32.9</c:v>
                </c:pt>
                <c:pt idx="24">
                  <c:v>33.799999999999997</c:v>
                </c:pt>
                <c:pt idx="25">
                  <c:v>34.6</c:v>
                </c:pt>
                <c:pt idx="26">
                  <c:v>35.5</c:v>
                </c:pt>
                <c:pt idx="27">
                  <c:v>36.299999999999997</c:v>
                </c:pt>
                <c:pt idx="28">
                  <c:v>37.1</c:v>
                </c:pt>
                <c:pt idx="29">
                  <c:v>37.9</c:v>
                </c:pt>
                <c:pt idx="30">
                  <c:v>38.700000000000003</c:v>
                </c:pt>
                <c:pt idx="31">
                  <c:v>39.299999999999997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348-4F10-BDCD-BE2C04B5479E}"/>
            </c:ext>
          </c:extLst>
        </c:ser>
        <c:ser>
          <c:idx val="7"/>
          <c:order val="7"/>
          <c:tx>
            <c:v>P_out - 0,9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расчет'!$AT$19:$BY$19</c:f>
              <c:numCache>
                <c:formatCode>General</c:formatCode>
                <c:ptCount val="32"/>
                <c:pt idx="0">
                  <c:v>6.9</c:v>
                </c:pt>
                <c:pt idx="1">
                  <c:v>8.1</c:v>
                </c:pt>
                <c:pt idx="2">
                  <c:v>9.3000000000000007</c:v>
                </c:pt>
                <c:pt idx="3">
                  <c:v>10.6</c:v>
                </c:pt>
                <c:pt idx="4">
                  <c:v>11.8</c:v>
                </c:pt>
                <c:pt idx="5">
                  <c:v>13</c:v>
                </c:pt>
                <c:pt idx="6">
                  <c:v>14.2</c:v>
                </c:pt>
                <c:pt idx="7">
                  <c:v>15.4</c:v>
                </c:pt>
                <c:pt idx="8">
                  <c:v>16.5</c:v>
                </c:pt>
                <c:pt idx="9">
                  <c:v>17.7</c:v>
                </c:pt>
                <c:pt idx="10">
                  <c:v>18.899999999999999</c:v>
                </c:pt>
                <c:pt idx="11">
                  <c:v>20</c:v>
                </c:pt>
                <c:pt idx="12">
                  <c:v>21.1</c:v>
                </c:pt>
                <c:pt idx="13">
                  <c:v>22.2</c:v>
                </c:pt>
                <c:pt idx="14">
                  <c:v>23.3</c:v>
                </c:pt>
                <c:pt idx="15">
                  <c:v>24.4</c:v>
                </c:pt>
                <c:pt idx="16">
                  <c:v>25.4</c:v>
                </c:pt>
                <c:pt idx="17">
                  <c:v>26.5</c:v>
                </c:pt>
                <c:pt idx="18">
                  <c:v>27.5</c:v>
                </c:pt>
                <c:pt idx="19">
                  <c:v>28.5</c:v>
                </c:pt>
                <c:pt idx="20">
                  <c:v>29.5</c:v>
                </c:pt>
                <c:pt idx="21">
                  <c:v>30.5</c:v>
                </c:pt>
                <c:pt idx="22">
                  <c:v>31.4</c:v>
                </c:pt>
                <c:pt idx="23">
                  <c:v>32.299999999999997</c:v>
                </c:pt>
                <c:pt idx="24">
                  <c:v>33.200000000000003</c:v>
                </c:pt>
                <c:pt idx="25">
                  <c:v>34.1</c:v>
                </c:pt>
                <c:pt idx="26">
                  <c:v>34.9</c:v>
                </c:pt>
                <c:pt idx="27">
                  <c:v>35.799999999999997</c:v>
                </c:pt>
                <c:pt idx="28">
                  <c:v>36.5</c:v>
                </c:pt>
                <c:pt idx="29">
                  <c:v>37.299999999999997</c:v>
                </c:pt>
                <c:pt idx="30">
                  <c:v>38.1</c:v>
                </c:pt>
                <c:pt idx="31">
                  <c:v>38.700000000000003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348-4F10-BDCD-BE2C04B5479E}"/>
            </c:ext>
          </c:extLst>
        </c:ser>
        <c:ser>
          <c:idx val="8"/>
          <c:order val="8"/>
          <c:tx>
            <c:v>P_out - 1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расчет'!$AT$20:$BY$20</c:f>
              <c:numCache>
                <c:formatCode>General</c:formatCode>
                <c:ptCount val="32"/>
                <c:pt idx="0">
                  <c:v>6.2</c:v>
                </c:pt>
                <c:pt idx="1">
                  <c:v>7.5</c:v>
                </c:pt>
                <c:pt idx="2">
                  <c:v>8.6999999999999993</c:v>
                </c:pt>
                <c:pt idx="3">
                  <c:v>9.9</c:v>
                </c:pt>
                <c:pt idx="4">
                  <c:v>11.1</c:v>
                </c:pt>
                <c:pt idx="5">
                  <c:v>12.4</c:v>
                </c:pt>
                <c:pt idx="6">
                  <c:v>13.6</c:v>
                </c:pt>
                <c:pt idx="7">
                  <c:v>14.8</c:v>
                </c:pt>
                <c:pt idx="8">
                  <c:v>15.9</c:v>
                </c:pt>
                <c:pt idx="9">
                  <c:v>17.100000000000001</c:v>
                </c:pt>
                <c:pt idx="10">
                  <c:v>18.3</c:v>
                </c:pt>
                <c:pt idx="11">
                  <c:v>19.399999999999999</c:v>
                </c:pt>
                <c:pt idx="12">
                  <c:v>20.5</c:v>
                </c:pt>
                <c:pt idx="13">
                  <c:v>21.6</c:v>
                </c:pt>
                <c:pt idx="14">
                  <c:v>22.8</c:v>
                </c:pt>
                <c:pt idx="15">
                  <c:v>23.8</c:v>
                </c:pt>
                <c:pt idx="16">
                  <c:v>24.9</c:v>
                </c:pt>
                <c:pt idx="17">
                  <c:v>25.9</c:v>
                </c:pt>
                <c:pt idx="18">
                  <c:v>26.9</c:v>
                </c:pt>
                <c:pt idx="19">
                  <c:v>27.9</c:v>
                </c:pt>
                <c:pt idx="20">
                  <c:v>28.9</c:v>
                </c:pt>
                <c:pt idx="21">
                  <c:v>29.9</c:v>
                </c:pt>
                <c:pt idx="22">
                  <c:v>30.8</c:v>
                </c:pt>
                <c:pt idx="23">
                  <c:v>31.8</c:v>
                </c:pt>
                <c:pt idx="24">
                  <c:v>32.700000000000003</c:v>
                </c:pt>
                <c:pt idx="25">
                  <c:v>33.5</c:v>
                </c:pt>
                <c:pt idx="26">
                  <c:v>34.4</c:v>
                </c:pt>
                <c:pt idx="27">
                  <c:v>35.200000000000003</c:v>
                </c:pt>
                <c:pt idx="28">
                  <c:v>36</c:v>
                </c:pt>
                <c:pt idx="29">
                  <c:v>36.799999999999997</c:v>
                </c:pt>
                <c:pt idx="30">
                  <c:v>37.6</c:v>
                </c:pt>
                <c:pt idx="31">
                  <c:v>38.200000000000003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348-4F10-BDCD-BE2C04B5479E}"/>
            </c:ext>
          </c:extLst>
        </c:ser>
        <c:ser>
          <c:idx val="9"/>
          <c:order val="9"/>
          <c:tx>
            <c:v>P_out - 1,1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расчет'!$AT$21:$BY$21</c:f>
              <c:numCache>
                <c:formatCode>General</c:formatCode>
                <c:ptCount val="32"/>
                <c:pt idx="0">
                  <c:v>5.6</c:v>
                </c:pt>
                <c:pt idx="1">
                  <c:v>6.9</c:v>
                </c:pt>
                <c:pt idx="2">
                  <c:v>8.1</c:v>
                </c:pt>
                <c:pt idx="3">
                  <c:v>9.3000000000000007</c:v>
                </c:pt>
                <c:pt idx="4">
                  <c:v>10.5</c:v>
                </c:pt>
                <c:pt idx="5">
                  <c:v>11.8</c:v>
                </c:pt>
                <c:pt idx="6">
                  <c:v>13</c:v>
                </c:pt>
                <c:pt idx="7">
                  <c:v>14.1</c:v>
                </c:pt>
                <c:pt idx="8">
                  <c:v>15.3</c:v>
                </c:pt>
                <c:pt idx="9">
                  <c:v>16.5</c:v>
                </c:pt>
                <c:pt idx="10">
                  <c:v>17.7</c:v>
                </c:pt>
                <c:pt idx="11">
                  <c:v>18.8</c:v>
                </c:pt>
                <c:pt idx="12">
                  <c:v>19.899999999999999</c:v>
                </c:pt>
                <c:pt idx="13">
                  <c:v>21</c:v>
                </c:pt>
                <c:pt idx="14">
                  <c:v>22.2</c:v>
                </c:pt>
                <c:pt idx="15">
                  <c:v>23.2</c:v>
                </c:pt>
                <c:pt idx="16">
                  <c:v>24.3</c:v>
                </c:pt>
                <c:pt idx="17">
                  <c:v>25.3</c:v>
                </c:pt>
                <c:pt idx="18">
                  <c:v>26.4</c:v>
                </c:pt>
                <c:pt idx="19">
                  <c:v>27.4</c:v>
                </c:pt>
                <c:pt idx="20">
                  <c:v>28.4</c:v>
                </c:pt>
                <c:pt idx="21">
                  <c:v>29.4</c:v>
                </c:pt>
                <c:pt idx="22">
                  <c:v>30.2</c:v>
                </c:pt>
                <c:pt idx="23">
                  <c:v>31.2</c:v>
                </c:pt>
                <c:pt idx="24">
                  <c:v>32.1</c:v>
                </c:pt>
                <c:pt idx="25">
                  <c:v>33</c:v>
                </c:pt>
                <c:pt idx="26">
                  <c:v>33.9</c:v>
                </c:pt>
                <c:pt idx="27">
                  <c:v>34.700000000000003</c:v>
                </c:pt>
                <c:pt idx="28">
                  <c:v>35.5</c:v>
                </c:pt>
                <c:pt idx="29">
                  <c:v>36.299999999999997</c:v>
                </c:pt>
                <c:pt idx="30">
                  <c:v>37.1</c:v>
                </c:pt>
                <c:pt idx="31">
                  <c:v>37.700000000000003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348-4F10-BDCD-BE2C04B5479E}"/>
            </c:ext>
          </c:extLst>
        </c:ser>
        <c:ser>
          <c:idx val="10"/>
          <c:order val="10"/>
          <c:tx>
            <c:v>P_out - 1,2 МПа</c:v>
          </c:tx>
          <c:marker>
            <c:symbol val="none"/>
          </c:marker>
          <c:cat>
            <c:numRef>
              <c:f>'Промежуточный расчет'!$AT$11:$BY$11</c:f>
              <c:numCache>
                <c:formatCode>General</c:formatCode>
                <c:ptCount val="32"/>
                <c:pt idx="0">
                  <c:v>1.2</c:v>
                </c:pt>
                <c:pt idx="1">
                  <c:v>1.4</c:v>
                </c:pt>
                <c:pt idx="2">
                  <c:v>1.6</c:v>
                </c:pt>
                <c:pt idx="3">
                  <c:v>1.8</c:v>
                </c:pt>
                <c:pt idx="4">
                  <c:v>2</c:v>
                </c:pt>
                <c:pt idx="5">
                  <c:v>2.2000000000000002</c:v>
                </c:pt>
                <c:pt idx="6">
                  <c:v>2.4000000000000004</c:v>
                </c:pt>
                <c:pt idx="7">
                  <c:v>2.6</c:v>
                </c:pt>
                <c:pt idx="8">
                  <c:v>2.8</c:v>
                </c:pt>
                <c:pt idx="9">
                  <c:v>3</c:v>
                </c:pt>
                <c:pt idx="10">
                  <c:v>3.2</c:v>
                </c:pt>
                <c:pt idx="11">
                  <c:v>3.4000000000000004</c:v>
                </c:pt>
                <c:pt idx="12">
                  <c:v>3.6000000000000005</c:v>
                </c:pt>
                <c:pt idx="13">
                  <c:v>3.8</c:v>
                </c:pt>
                <c:pt idx="14">
                  <c:v>4</c:v>
                </c:pt>
                <c:pt idx="15">
                  <c:v>4.2</c:v>
                </c:pt>
                <c:pt idx="16">
                  <c:v>4.4000000000000004</c:v>
                </c:pt>
                <c:pt idx="17">
                  <c:v>4.6000000000000005</c:v>
                </c:pt>
                <c:pt idx="18">
                  <c:v>4.8</c:v>
                </c:pt>
                <c:pt idx="19">
                  <c:v>5</c:v>
                </c:pt>
                <c:pt idx="20">
                  <c:v>5.2</c:v>
                </c:pt>
                <c:pt idx="21">
                  <c:v>5.4</c:v>
                </c:pt>
                <c:pt idx="22">
                  <c:v>5.6000000000000005</c:v>
                </c:pt>
                <c:pt idx="23">
                  <c:v>5.8000000000000007</c:v>
                </c:pt>
                <c:pt idx="24">
                  <c:v>6.0000000000000009</c:v>
                </c:pt>
                <c:pt idx="25">
                  <c:v>6.2</c:v>
                </c:pt>
                <c:pt idx="26">
                  <c:v>6.4</c:v>
                </c:pt>
                <c:pt idx="27">
                  <c:v>6.6000000000000005</c:v>
                </c:pt>
                <c:pt idx="28">
                  <c:v>6.8000000000000007</c:v>
                </c:pt>
                <c:pt idx="29">
                  <c:v>7.0000000000000009</c:v>
                </c:pt>
                <c:pt idx="30">
                  <c:v>7.2</c:v>
                </c:pt>
                <c:pt idx="31">
                  <c:v>7.4</c:v>
                </c:pt>
              </c:numCache>
            </c:numRef>
          </c:cat>
          <c:val>
            <c:numRef>
              <c:f>'Промежуточный расчет'!$AT$22:$BY$22</c:f>
              <c:numCache>
                <c:formatCode>General</c:formatCode>
                <c:ptCount val="32"/>
                <c:pt idx="0">
                  <c:v>5</c:v>
                </c:pt>
                <c:pt idx="1">
                  <c:v>6.2</c:v>
                </c:pt>
                <c:pt idx="2">
                  <c:v>7.5</c:v>
                </c:pt>
                <c:pt idx="3">
                  <c:v>8.6999999999999993</c:v>
                </c:pt>
                <c:pt idx="4">
                  <c:v>9.9</c:v>
                </c:pt>
                <c:pt idx="5">
                  <c:v>11.1</c:v>
                </c:pt>
                <c:pt idx="6">
                  <c:v>12.3</c:v>
                </c:pt>
                <c:pt idx="7">
                  <c:v>13.5</c:v>
                </c:pt>
                <c:pt idx="8">
                  <c:v>14.7</c:v>
                </c:pt>
                <c:pt idx="9">
                  <c:v>15.9</c:v>
                </c:pt>
                <c:pt idx="10">
                  <c:v>17.100000000000001</c:v>
                </c:pt>
                <c:pt idx="11">
                  <c:v>18.2</c:v>
                </c:pt>
                <c:pt idx="12">
                  <c:v>19.3</c:v>
                </c:pt>
                <c:pt idx="13">
                  <c:v>20.399999999999999</c:v>
                </c:pt>
                <c:pt idx="14">
                  <c:v>21.6</c:v>
                </c:pt>
                <c:pt idx="15">
                  <c:v>22.7</c:v>
                </c:pt>
                <c:pt idx="16">
                  <c:v>23.7</c:v>
                </c:pt>
                <c:pt idx="17">
                  <c:v>24.7</c:v>
                </c:pt>
                <c:pt idx="18">
                  <c:v>25.8</c:v>
                </c:pt>
                <c:pt idx="19">
                  <c:v>26.8</c:v>
                </c:pt>
                <c:pt idx="20">
                  <c:v>27.8</c:v>
                </c:pt>
                <c:pt idx="21">
                  <c:v>28.8</c:v>
                </c:pt>
                <c:pt idx="22">
                  <c:v>29.7</c:v>
                </c:pt>
                <c:pt idx="23">
                  <c:v>30.7</c:v>
                </c:pt>
                <c:pt idx="24">
                  <c:v>31.6</c:v>
                </c:pt>
                <c:pt idx="25">
                  <c:v>32.4</c:v>
                </c:pt>
                <c:pt idx="26">
                  <c:v>33.299999999999997</c:v>
                </c:pt>
                <c:pt idx="27">
                  <c:v>34.200000000000003</c:v>
                </c:pt>
                <c:pt idx="28">
                  <c:v>34.9</c:v>
                </c:pt>
                <c:pt idx="29">
                  <c:v>35.799999999999997</c:v>
                </c:pt>
                <c:pt idx="30">
                  <c:v>36.5</c:v>
                </c:pt>
                <c:pt idx="31">
                  <c:v>37.200000000000003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348-4F10-BDCD-BE2C04B54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448136"/>
        <c:axId val="862450432"/>
      </c:lineChart>
      <c:catAx>
        <c:axId val="862448136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Входное давление - </a:t>
                </a:r>
                <a:r>
                  <a:rPr lang="en-US"/>
                  <a:t>P_in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2450432"/>
        <c:crosses val="autoZero"/>
        <c:auto val="1"/>
        <c:lblAlgn val="ctr"/>
        <c:lblOffset val="100"/>
        <c:noMultiLvlLbl val="0"/>
      </c:catAx>
      <c:valAx>
        <c:axId val="862450432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Перепад температур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2448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e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wmf"/><Relationship Id="rId3" Type="http://schemas.openxmlformats.org/officeDocument/2006/relationships/image" Target="../media/image3.wmf"/><Relationship Id="rId7" Type="http://schemas.openxmlformats.org/officeDocument/2006/relationships/image" Target="../media/image7.wmf"/><Relationship Id="rId12" Type="http://schemas.openxmlformats.org/officeDocument/2006/relationships/image" Target="../media/image12.e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11" Type="http://schemas.openxmlformats.org/officeDocument/2006/relationships/image" Target="../media/image11.wmf"/><Relationship Id="rId5" Type="http://schemas.openxmlformats.org/officeDocument/2006/relationships/image" Target="../media/image5.wmf"/><Relationship Id="rId10" Type="http://schemas.openxmlformats.org/officeDocument/2006/relationships/image" Target="../media/image10.wmf"/><Relationship Id="rId4" Type="http://schemas.openxmlformats.org/officeDocument/2006/relationships/image" Target="../media/image4.wmf"/><Relationship Id="rId9" Type="http://schemas.openxmlformats.org/officeDocument/2006/relationships/image" Target="../media/image9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0</xdr:rowOff>
    </xdr:from>
    <xdr:to>
      <xdr:col>9</xdr:col>
      <xdr:colOff>501650</xdr:colOff>
      <xdr:row>64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347382</xdr:colOff>
      <xdr:row>48</xdr:row>
      <xdr:rowOff>168088</xdr:rowOff>
    </xdr:from>
    <xdr:to>
      <xdr:col>19</xdr:col>
      <xdr:colOff>355974</xdr:colOff>
      <xdr:row>68</xdr:row>
      <xdr:rowOff>168088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</xdr:colOff>
          <xdr:row>4</xdr:row>
          <xdr:rowOff>99060</xdr:rowOff>
        </xdr:from>
        <xdr:to>
          <xdr:col>5</xdr:col>
          <xdr:colOff>601980</xdr:colOff>
          <xdr:row>7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Создание таблиц для исходных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144780</xdr:colOff>
          <xdr:row>10</xdr:row>
          <xdr:rowOff>121920</xdr:rowOff>
        </xdr:from>
        <xdr:to>
          <xdr:col>5</xdr:col>
          <xdr:colOff>601980</xdr:colOff>
          <xdr:row>10</xdr:row>
          <xdr:rowOff>723900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7</xdr:row>
          <xdr:rowOff>312420</xdr:rowOff>
        </xdr:from>
        <xdr:to>
          <xdr:col>5</xdr:col>
          <xdr:colOff>601980</xdr:colOff>
          <xdr:row>10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Добавление таблиц к существующим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121920</xdr:colOff>
          <xdr:row>11</xdr:row>
          <xdr:rowOff>60960</xdr:rowOff>
        </xdr:from>
        <xdr:to>
          <xdr:col>5</xdr:col>
          <xdr:colOff>579120</xdr:colOff>
          <xdr:row>14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выборочного диапазона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26722</xdr:colOff>
      <xdr:row>4</xdr:row>
      <xdr:rowOff>11636</xdr:rowOff>
    </xdr:from>
    <xdr:to>
      <xdr:col>24</xdr:col>
      <xdr:colOff>582704</xdr:colOff>
      <xdr:row>19</xdr:row>
      <xdr:rowOff>100853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4202163" y="840871"/>
          <a:ext cx="6607159" cy="4784482"/>
        </a:xfrm>
        <a:prstGeom prst="rect">
          <a:avLst/>
        </a:prstGeom>
        <a:solidFill>
          <a:schemeClr val="bg1"/>
        </a:solidFill>
        <a:ln w="571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ysClr val="windowText" lastClr="000000"/>
              </a:solidFill>
            </a:rPr>
            <a:t>Ввод данных: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В ячейку </a:t>
          </a:r>
          <a:r>
            <a:rPr lang="en-US" sz="1200" b="1">
              <a:solidFill>
                <a:sysClr val="windowText" lastClr="000000"/>
              </a:solidFill>
            </a:rPr>
            <a:t>B2</a:t>
          </a:r>
          <a:r>
            <a:rPr lang="en-US" sz="1200">
              <a:solidFill>
                <a:sysClr val="windowText" lastClr="000000"/>
              </a:solidFill>
            </a:rPr>
            <a:t> </a:t>
          </a:r>
          <a:r>
            <a:rPr lang="ru-RU" sz="1200">
              <a:solidFill>
                <a:sysClr val="windowText" lastClr="000000"/>
              </a:solidFill>
            </a:rPr>
            <a:t>впишите </a:t>
          </a:r>
          <a:r>
            <a:rPr lang="ru-RU" sz="1200" b="1">
              <a:solidFill>
                <a:sysClr val="windowText" lastClr="000000"/>
              </a:solidFill>
            </a:rPr>
            <a:t>входное давление</a:t>
          </a:r>
          <a:r>
            <a:rPr lang="ru-RU" sz="1200">
              <a:solidFill>
                <a:sysClr val="windowText" lastClr="000000"/>
              </a:solidFill>
            </a:rPr>
            <a:t> с нужным шагом.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В ячейку </a:t>
          </a:r>
          <a:r>
            <a:rPr lang="en-US" sz="1200" b="1">
              <a:solidFill>
                <a:sysClr val="windowText" lastClr="000000"/>
              </a:solidFill>
            </a:rPr>
            <a:t>B3</a:t>
          </a:r>
          <a:r>
            <a:rPr lang="en-US" sz="1200">
              <a:solidFill>
                <a:sysClr val="windowText" lastClr="000000"/>
              </a:solidFill>
            </a:rPr>
            <a:t> </a:t>
          </a:r>
          <a:r>
            <a:rPr lang="ru-RU" sz="1200">
              <a:solidFill>
                <a:sysClr val="windowText" lastClr="000000"/>
              </a:solidFill>
            </a:rPr>
            <a:t>впишите </a:t>
          </a:r>
          <a:r>
            <a:rPr lang="ru-RU" sz="1200" b="1">
              <a:solidFill>
                <a:sysClr val="windowText" lastClr="000000"/>
              </a:solidFill>
            </a:rPr>
            <a:t>выходное давление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В таблицу, начиная с ячейки </a:t>
          </a:r>
          <a:r>
            <a:rPr lang="en-US" sz="1200" b="1">
              <a:solidFill>
                <a:sysClr val="windowText" lastClr="000000"/>
              </a:solidFill>
            </a:rPr>
            <a:t>A11</a:t>
          </a:r>
          <a:r>
            <a:rPr lang="en-US" sz="1200">
              <a:solidFill>
                <a:sysClr val="windowText" lastClr="000000"/>
              </a:solidFill>
            </a:rPr>
            <a:t>, </a:t>
          </a:r>
          <a:r>
            <a:rPr lang="ru-RU" sz="1200">
              <a:solidFill>
                <a:sysClr val="windowText" lastClr="000000"/>
              </a:solidFill>
            </a:rPr>
            <a:t>впишите </a:t>
          </a:r>
          <a:r>
            <a:rPr lang="ru-RU" sz="1200" b="1">
              <a:solidFill>
                <a:sysClr val="windowText" lastClr="000000"/>
              </a:solidFill>
            </a:rPr>
            <a:t>состав газа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Очистка данных:</a:t>
          </a:r>
          <a:br>
            <a:rPr lang="ru-RU" sz="1200">
              <a:solidFill>
                <a:sysClr val="windowText" lastClr="000000"/>
              </a:solidFill>
            </a:rPr>
          </a:br>
          <a:r>
            <a:rPr lang="ru-RU" sz="1200">
              <a:solidFill>
                <a:sysClr val="windowText" lastClr="000000"/>
              </a:solidFill>
            </a:rPr>
            <a:t>Перед началом нового расчета удалите все таблицы, начиная с ячейки </a:t>
          </a:r>
          <a:r>
            <a:rPr lang="en-US" sz="1200" b="1">
              <a:solidFill>
                <a:sysClr val="windowText" lastClr="000000"/>
              </a:solidFill>
            </a:rPr>
            <a:t>G7</a:t>
          </a:r>
          <a:r>
            <a:rPr lang="en-US" sz="1200">
              <a:solidFill>
                <a:sysClr val="windowText" lastClr="000000"/>
              </a:solidFill>
            </a:rPr>
            <a:t>. </a:t>
          </a:r>
          <a:r>
            <a:rPr lang="ru-RU" sz="1200">
              <a:solidFill>
                <a:sysClr val="windowText" lastClr="000000"/>
              </a:solidFill>
            </a:rPr>
            <a:t>Для этого используйте кнопку </a:t>
          </a:r>
          <a:r>
            <a:rPr lang="ru-RU" sz="1200" b="1">
              <a:solidFill>
                <a:sysClr val="windowText" lastClr="000000"/>
              </a:solidFill>
            </a:rPr>
            <a:t>"Удаление выборочного диапазона"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Создание таблиц: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Создайте новые таблицы для исходных данных.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Укажите количество таблиц и выберите, нужны ли таблицы для </a:t>
          </a:r>
          <a:r>
            <a:rPr lang="ru-RU" sz="1200" b="1">
              <a:solidFill>
                <a:sysClr val="windowText" lastClr="000000"/>
              </a:solidFill>
            </a:rPr>
            <a:t>регулятора</a:t>
          </a:r>
          <a:r>
            <a:rPr lang="ru-RU" sz="1200">
              <a:solidFill>
                <a:sysClr val="windowText" lastClr="000000"/>
              </a:solidFill>
            </a:rPr>
            <a:t> и </a:t>
          </a:r>
          <a:r>
            <a:rPr lang="ru-RU" sz="1200" b="1">
              <a:solidFill>
                <a:sysClr val="windowText" lastClr="000000"/>
              </a:solidFill>
            </a:rPr>
            <a:t>котельной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Добавление таблиц (если нужно):</a:t>
          </a:r>
          <a:br>
            <a:rPr lang="ru-RU" sz="1200">
              <a:solidFill>
                <a:sysClr val="windowText" lastClr="000000"/>
              </a:solidFill>
            </a:rPr>
          </a:br>
          <a:r>
            <a:rPr lang="ru-RU" sz="1200">
              <a:solidFill>
                <a:sysClr val="windowText" lastClr="000000"/>
              </a:solidFill>
            </a:rPr>
            <a:t>Если требуется добавить еще одну таблицу, используйте кнопку </a:t>
          </a:r>
          <a:r>
            <a:rPr lang="ru-RU" sz="1200" b="1">
              <a:solidFill>
                <a:sysClr val="windowText" lastClr="000000"/>
              </a:solidFill>
            </a:rPr>
            <a:t>"Добавление таблиц к существующим"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r>
            <a:rPr lang="ru-RU" sz="1200" b="1">
              <a:solidFill>
                <a:sysClr val="windowText" lastClr="000000"/>
              </a:solidFill>
            </a:rPr>
            <a:t>Задание начальных условий: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После создания всех таблиц задайте начальные условия для каждой из них.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В таблицах для труб есть колонка </a:t>
          </a:r>
          <a:r>
            <a:rPr lang="ru-RU" sz="1200" b="1">
              <a:solidFill>
                <a:sysClr val="windowText" lastClr="000000"/>
              </a:solidFill>
            </a:rPr>
            <a:t>"До редуцирования"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2"/>
          <a:r>
            <a:rPr lang="ru-RU" sz="1200">
              <a:solidFill>
                <a:sysClr val="windowText" lastClr="000000"/>
              </a:solidFill>
            </a:rPr>
            <a:t>Поставьте </a:t>
          </a:r>
          <a:r>
            <a:rPr lang="ru-RU" sz="1200" b="1">
              <a:solidFill>
                <a:sysClr val="windowText" lastClr="000000"/>
              </a:solidFill>
            </a:rPr>
            <a:t>"+"</a:t>
          </a:r>
          <a:r>
            <a:rPr lang="ru-RU" sz="1200">
              <a:solidFill>
                <a:sysClr val="windowText" lastClr="000000"/>
              </a:solidFill>
            </a:rPr>
            <a:t>, если труба идет </a:t>
          </a:r>
          <a:r>
            <a:rPr lang="ru-RU" sz="1200" b="1">
              <a:solidFill>
                <a:sysClr val="windowText" lastClr="000000"/>
              </a:solidFill>
            </a:rPr>
            <a:t>до регулятора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2"/>
          <a:r>
            <a:rPr lang="ru-RU" sz="1200">
              <a:solidFill>
                <a:sysClr val="windowText" lastClr="000000"/>
              </a:solidFill>
            </a:rPr>
            <a:t>В противном случае укажите " - ".</a:t>
          </a:r>
        </a:p>
        <a:p>
          <a:r>
            <a:rPr lang="ru-RU" sz="1200" b="1">
              <a:solidFill>
                <a:sysClr val="windowText" lastClr="000000"/>
              </a:solidFill>
            </a:rPr>
            <a:t>Запуск расчета:</a:t>
          </a:r>
          <a:endParaRPr lang="ru-RU" sz="1200">
            <a:solidFill>
              <a:sysClr val="windowText" lastClr="000000"/>
            </a:solidFill>
          </a:endParaRPr>
        </a:p>
        <a:p>
          <a:pPr lvl="1"/>
          <a:r>
            <a:rPr lang="ru-RU" sz="1200">
              <a:solidFill>
                <a:sysClr val="windowText" lastClr="000000"/>
              </a:solidFill>
            </a:rPr>
            <a:t>После задания всех условий нажмите кнопку </a:t>
          </a:r>
          <a:r>
            <a:rPr lang="ru-RU" sz="1200" b="1">
              <a:solidFill>
                <a:sysClr val="windowText" lastClr="000000"/>
              </a:solidFill>
            </a:rPr>
            <a:t>"Расчет"</a:t>
          </a:r>
          <a:r>
            <a:rPr lang="ru-RU" sz="1200">
              <a:solidFill>
                <a:sysClr val="windowText" lastClr="000000"/>
              </a:solidFill>
            </a:rPr>
            <a:t>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Дождитесь сообщения о завершении расчета.</a:t>
          </a:r>
        </a:p>
        <a:p>
          <a:pPr lvl="1"/>
          <a:r>
            <a:rPr lang="ru-RU" sz="1200">
              <a:solidFill>
                <a:sysClr val="windowText" lastClr="000000"/>
              </a:solidFill>
            </a:rPr>
            <a:t>Перейдите на вкладку </a:t>
          </a:r>
          <a:r>
            <a:rPr lang="ru-RU" sz="1200" b="1">
              <a:solidFill>
                <a:sysClr val="windowText" lastClr="000000"/>
              </a:solidFill>
            </a:rPr>
            <a:t>"Результат"</a:t>
          </a:r>
          <a:r>
            <a:rPr lang="ru-RU" sz="1200">
              <a:solidFill>
                <a:sysClr val="windowText" lastClr="000000"/>
              </a:solidFill>
            </a:rPr>
            <a:t> и в строке 1 впишите название вашего объекта.</a:t>
          </a:r>
        </a:p>
        <a:p>
          <a:br>
            <a:rPr lang="en-US" sz="1100" baseline="0"/>
          </a:b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19</xdr:row>
      <xdr:rowOff>147431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0" y="322400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𝑉𝑚𝑎𝑥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𝑚𝑎𝑥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514∗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0" y="322400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𝑉𝑚𝑎𝑥=(1,15𝑄_𝑚𝑎𝑥)/(514∗𝐸∗√((𝐷∗𝑃∗𝑃_1)/(𝑞_𝑛∗𝑇_1 )))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5</xdr:col>
      <xdr:colOff>588066</xdr:colOff>
      <xdr:row>19</xdr:row>
      <xdr:rowOff>165651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636066" y="324222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𝑉𝑚𝑖𝑛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514∗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𝑞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636066" y="324222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𝑉𝑚𝑖𝑛=(1,15𝑄_𝑚𝑖𝑛)/(514∗𝐸∗√((𝐷∗𝑃∗𝑃_1)/(𝑞_𝑛∗𝑇_1 )))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0</xdr:col>
      <xdr:colOff>115957</xdr:colOff>
      <xdr:row>28</xdr:row>
      <xdr:rowOff>125896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5957" y="465979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𝑉𝑚𝑎𝑥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𝑚𝑎𝑥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280∗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l-G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γ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5957" y="4659796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𝑉𝑚𝑎𝑥=(1,15𝑄_𝑚𝑎𝑥)/(280∗𝑃_1 √(1/(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γ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𝑛 𝑇_1 )))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6</xdr:col>
      <xdr:colOff>231912</xdr:colOff>
      <xdr:row>28</xdr:row>
      <xdr:rowOff>140804</xdr:rowOff>
    </xdr:from>
    <xdr:ext cx="2443369" cy="6769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3889512" y="4674704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𝑉𝑚𝑖𝑛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1,15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280∗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l-G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γ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rad>
                      </m:den>
                    </m:f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889512" y="4674704"/>
              <a:ext cx="2443369" cy="6769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𝐾</a:t>
              </a:r>
              <a:r>
                <a:rPr lang="ru-RU" sz="1400" b="0" i="0">
                  <a:latin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𝑉𝑚𝑖𝑛=(1,15𝑄_𝑚𝑖𝑛)/(280∗𝑃_1 √(1/(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γ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𝑛 𝑇_1 )))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4343553" y="8169518"/>
    <xdr:ext cx="1978200" cy="580777"/>
    <xdr:pic>
      <xdr:nvPicPr>
        <xdr:cNvPr id="17" name="Picture 25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/>
      </xdr:blipFill>
      <xdr:spPr>
        <a:xfrm>
          <a:off x="4343553" y="8169518"/>
          <a:ext cx="1978200" cy="580777"/>
        </a:xfrm>
        <a:prstGeom prst="rect">
          <a:avLst/>
        </a:prstGeom>
        <a:ln>
          <a:noFill/>
        </a:ln>
      </xdr:spPr>
    </xdr:pic>
    <xdr:clientData/>
  </xdr:absoluteAnchor>
  <xdr:absoluteAnchor>
    <xdr:pos x="3359712" y="9079274"/>
    <xdr:ext cx="2854785" cy="637216"/>
    <xdr:pic>
      <xdr:nvPicPr>
        <xdr:cNvPr id="18" name="Picture 26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/>
      </xdr:blipFill>
      <xdr:spPr>
        <a:xfrm>
          <a:off x="3359712" y="9079274"/>
          <a:ext cx="2854785" cy="637216"/>
        </a:xfrm>
        <a:prstGeom prst="rect">
          <a:avLst/>
        </a:prstGeom>
        <a:ln>
          <a:noFill/>
        </a:ln>
      </xdr:spPr>
    </xdr:pic>
    <xdr:clientData/>
  </xdr:absoluteAnchor>
  <xdr:absoluteAnchor>
    <xdr:pos x="3614561" y="9988967"/>
    <xdr:ext cx="2321280" cy="578644"/>
    <xdr:pic>
      <xdr:nvPicPr>
        <xdr:cNvPr id="19" name="Picture 27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/>
      </xdr:blipFill>
      <xdr:spPr>
        <a:xfrm>
          <a:off x="3614561" y="9988967"/>
          <a:ext cx="2321280" cy="578644"/>
        </a:xfrm>
        <a:prstGeom prst="rect">
          <a:avLst/>
        </a:prstGeom>
        <a:ln>
          <a:noFill/>
        </a:ln>
      </xdr:spPr>
    </xdr:pic>
    <xdr:clientData/>
  </xdr:absoluteAnchor>
  <xdr:absoluteAnchor>
    <xdr:pos x="3523857" y="10550739"/>
    <xdr:ext cx="3045105" cy="359608"/>
    <xdr:pic>
      <xdr:nvPicPr>
        <xdr:cNvPr id="20" name="Picture 2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/>
      </xdr:blipFill>
      <xdr:spPr>
        <a:xfrm>
          <a:off x="3523857" y="10550739"/>
          <a:ext cx="3045105" cy="359608"/>
        </a:xfrm>
        <a:prstGeom prst="rect">
          <a:avLst/>
        </a:prstGeom>
        <a:ln>
          <a:noFill/>
        </a:ln>
      </xdr:spPr>
    </xdr:pic>
    <xdr:clientData/>
  </xdr:absoluteAnchor>
  <xdr:absoluteAnchor>
    <xdr:pos x="3716899" y="11733808"/>
    <xdr:ext cx="2578320" cy="402329"/>
    <xdr:pic>
      <xdr:nvPicPr>
        <xdr:cNvPr id="22" name="Picture 3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/>
      </xdr:blipFill>
      <xdr:spPr>
        <a:xfrm>
          <a:off x="3716899" y="11733808"/>
          <a:ext cx="2578320" cy="402329"/>
        </a:xfrm>
        <a:prstGeom prst="rect">
          <a:avLst/>
        </a:prstGeom>
        <a:ln>
          <a:noFill/>
        </a:ln>
      </xdr:spPr>
    </xdr:pic>
    <xdr:clientData/>
  </xdr:absoluteAnchor>
  <xdr:absoluteAnchor>
    <xdr:pos x="3865442" y="12175175"/>
    <xdr:ext cx="2054520" cy="608017"/>
    <xdr:pic>
      <xdr:nvPicPr>
        <xdr:cNvPr id="23" name="Picture 3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/>
      </xdr:blipFill>
      <xdr:spPr>
        <a:xfrm>
          <a:off x="3865442" y="12175175"/>
          <a:ext cx="2054520" cy="608017"/>
        </a:xfrm>
        <a:prstGeom prst="rect">
          <a:avLst/>
        </a:prstGeom>
        <a:ln>
          <a:noFill/>
        </a:ln>
      </xdr:spPr>
    </xdr:pic>
    <xdr:clientData/>
  </xdr:absoluteAnchor>
  <xdr:absoluteAnchor>
    <xdr:pos x="4787541" y="13034073"/>
    <xdr:ext cx="1768680" cy="667786"/>
    <xdr:pic>
      <xdr:nvPicPr>
        <xdr:cNvPr id="24" name="Picture 3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/>
      </xdr:blipFill>
      <xdr:spPr>
        <a:xfrm>
          <a:off x="4787541" y="13034073"/>
          <a:ext cx="1768680" cy="667786"/>
        </a:xfrm>
        <a:prstGeom prst="rect">
          <a:avLst/>
        </a:prstGeom>
        <a:ln>
          <a:noFill/>
        </a:ln>
      </xdr:spPr>
    </xdr:pic>
    <xdr:clientData/>
  </xdr:absoluteAnchor>
  <xdr:absoluteAnchor>
    <xdr:pos x="3754014" y="13956343"/>
    <xdr:ext cx="2044800" cy="607010"/>
    <xdr:pic>
      <xdr:nvPicPr>
        <xdr:cNvPr id="25" name="Picture 3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/>
      </xdr:blipFill>
      <xdr:spPr>
        <a:xfrm>
          <a:off x="3754014" y="13956343"/>
          <a:ext cx="2044800" cy="607010"/>
        </a:xfrm>
        <a:prstGeom prst="rect">
          <a:avLst/>
        </a:prstGeom>
        <a:ln>
          <a:noFill/>
        </a:ln>
      </xdr:spPr>
    </xdr:pic>
    <xdr:clientData/>
  </xdr:absoluteAnchor>
  <xdr:absoluteAnchor>
    <xdr:pos x="29436431" y="21908733"/>
    <xdr:ext cx="798537" cy="310325"/>
    <xdr:pic>
      <xdr:nvPicPr>
        <xdr:cNvPr id="26" name="Picture 34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/>
      </xdr:blipFill>
      <xdr:spPr>
        <a:xfrm>
          <a:off x="29436431" y="21908733"/>
          <a:ext cx="798537" cy="310325"/>
        </a:xfrm>
        <a:prstGeom prst="rect">
          <a:avLst/>
        </a:prstGeom>
        <a:ln>
          <a:noFill/>
        </a:ln>
      </xdr:spPr>
    </xdr:pic>
    <xdr:clientData/>
  </xdr:absoluteAnchor>
  <xdr:absoluteAnchor>
    <xdr:pos x="30975125" y="21952790"/>
    <xdr:ext cx="1060279" cy="266313"/>
    <xdr:pic>
      <xdr:nvPicPr>
        <xdr:cNvPr id="28" name="Picture 43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/>
      </xdr:blipFill>
      <xdr:spPr>
        <a:xfrm>
          <a:off x="30975125" y="21952790"/>
          <a:ext cx="1060279" cy="266313"/>
        </a:xfrm>
        <a:prstGeom prst="rect">
          <a:avLst/>
        </a:prstGeom>
        <a:ln>
          <a:noFill/>
        </a:ln>
      </xdr:spPr>
    </xdr:pic>
    <xdr:clientData/>
  </xdr:absoluteAnchor>
  <xdr:absoluteAnchor>
    <xdr:pos x="27073031" y="29907962"/>
    <xdr:ext cx="905726" cy="563"/>
    <xdr:pic>
      <xdr:nvPicPr>
        <xdr:cNvPr id="29" name="Picture 44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/>
      </xdr:blipFill>
      <xdr:spPr>
        <a:xfrm>
          <a:off x="27073031" y="29907962"/>
          <a:ext cx="905726" cy="563"/>
        </a:xfrm>
        <a:prstGeom prst="rect">
          <a:avLst/>
        </a:prstGeom>
        <a:ln>
          <a:noFill/>
        </a:ln>
      </xdr:spPr>
    </xdr:pic>
    <xdr:clientData/>
  </xdr:absoluteAnchor>
  <xdr:absoluteAnchor>
    <xdr:pos x="34048728" y="21981230"/>
    <xdr:ext cx="681458" cy="237768"/>
    <xdr:pic>
      <xdr:nvPicPr>
        <xdr:cNvPr id="30" name="Picture 45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/>
      </xdr:blipFill>
      <xdr:spPr>
        <a:xfrm>
          <a:off x="34048728" y="21981230"/>
          <a:ext cx="681458" cy="237768"/>
        </a:xfrm>
        <a:prstGeom prst="rect">
          <a:avLst/>
        </a:prstGeom>
        <a:ln>
          <a:noFill/>
        </a:ln>
      </xdr:spPr>
    </xdr:pic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4343553" y="8169518"/>
    <xdr:ext cx="1978200" cy="580777"/>
    <xdr:pic>
      <xdr:nvPicPr>
        <xdr:cNvPr id="2" name="Picture 2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/>
      </xdr:blipFill>
      <xdr:spPr>
        <a:xfrm>
          <a:off x="4343553" y="8169518"/>
          <a:ext cx="1978200" cy="580777"/>
        </a:xfrm>
        <a:prstGeom prst="rect">
          <a:avLst/>
        </a:prstGeom>
        <a:ln>
          <a:noFill/>
        </a:ln>
      </xdr:spPr>
    </xdr:pic>
    <xdr:clientData/>
  </xdr:absoluteAnchor>
  <xdr:absoluteAnchor>
    <xdr:pos x="3359712" y="9079274"/>
    <xdr:ext cx="2854785" cy="637216"/>
    <xdr:pic>
      <xdr:nvPicPr>
        <xdr:cNvPr id="3" name="Picture 2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/>
      </xdr:blipFill>
      <xdr:spPr>
        <a:xfrm>
          <a:off x="3359712" y="9079274"/>
          <a:ext cx="2854785" cy="637216"/>
        </a:xfrm>
        <a:prstGeom prst="rect">
          <a:avLst/>
        </a:prstGeom>
        <a:ln>
          <a:noFill/>
        </a:ln>
      </xdr:spPr>
    </xdr:pic>
    <xdr:clientData/>
  </xdr:absoluteAnchor>
  <xdr:absoluteAnchor>
    <xdr:pos x="3614561" y="9988967"/>
    <xdr:ext cx="2321280" cy="578644"/>
    <xdr:pic>
      <xdr:nvPicPr>
        <xdr:cNvPr id="4" name="Picture 2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/>
      </xdr:blipFill>
      <xdr:spPr>
        <a:xfrm>
          <a:off x="3614561" y="9988967"/>
          <a:ext cx="2321280" cy="578644"/>
        </a:xfrm>
        <a:prstGeom prst="rect">
          <a:avLst/>
        </a:prstGeom>
        <a:ln>
          <a:noFill/>
        </a:ln>
      </xdr:spPr>
    </xdr:pic>
    <xdr:clientData/>
  </xdr:absoluteAnchor>
  <xdr:absoluteAnchor>
    <xdr:pos x="3523857" y="10550739"/>
    <xdr:ext cx="3045105" cy="359608"/>
    <xdr:pic>
      <xdr:nvPicPr>
        <xdr:cNvPr id="5" name="Picture 2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/>
      </xdr:blipFill>
      <xdr:spPr>
        <a:xfrm>
          <a:off x="3523857" y="10550739"/>
          <a:ext cx="3045105" cy="359608"/>
        </a:xfrm>
        <a:prstGeom prst="rect">
          <a:avLst/>
        </a:prstGeom>
        <a:ln>
          <a:noFill/>
        </a:ln>
      </xdr:spPr>
    </xdr:pic>
    <xdr:clientData/>
  </xdr:absoluteAnchor>
  <xdr:absoluteAnchor>
    <xdr:pos x="3716899" y="11733808"/>
    <xdr:ext cx="2578320" cy="402329"/>
    <xdr:pic>
      <xdr:nvPicPr>
        <xdr:cNvPr id="6" name="Picture 30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/>
      </xdr:blipFill>
      <xdr:spPr>
        <a:xfrm>
          <a:off x="3716899" y="11733808"/>
          <a:ext cx="2578320" cy="402329"/>
        </a:xfrm>
        <a:prstGeom prst="rect">
          <a:avLst/>
        </a:prstGeom>
        <a:ln>
          <a:noFill/>
        </a:ln>
      </xdr:spPr>
    </xdr:pic>
    <xdr:clientData/>
  </xdr:absoluteAnchor>
  <xdr:absoluteAnchor>
    <xdr:pos x="3865442" y="12175175"/>
    <xdr:ext cx="2054520" cy="608017"/>
    <xdr:pic>
      <xdr:nvPicPr>
        <xdr:cNvPr id="7" name="Picture 3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/>
      </xdr:blipFill>
      <xdr:spPr>
        <a:xfrm>
          <a:off x="3865442" y="12175175"/>
          <a:ext cx="2054520" cy="608017"/>
        </a:xfrm>
        <a:prstGeom prst="rect">
          <a:avLst/>
        </a:prstGeom>
        <a:ln>
          <a:noFill/>
        </a:ln>
      </xdr:spPr>
    </xdr:pic>
    <xdr:clientData/>
  </xdr:absoluteAnchor>
  <xdr:absoluteAnchor>
    <xdr:pos x="4787541" y="13034073"/>
    <xdr:ext cx="1768680" cy="667786"/>
    <xdr:pic>
      <xdr:nvPicPr>
        <xdr:cNvPr id="8" name="Picture 3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/>
      </xdr:blipFill>
      <xdr:spPr>
        <a:xfrm>
          <a:off x="4787541" y="13034073"/>
          <a:ext cx="1768680" cy="667786"/>
        </a:xfrm>
        <a:prstGeom prst="rect">
          <a:avLst/>
        </a:prstGeom>
        <a:ln>
          <a:noFill/>
        </a:ln>
      </xdr:spPr>
    </xdr:pic>
    <xdr:clientData/>
  </xdr:absoluteAnchor>
  <xdr:absoluteAnchor>
    <xdr:pos x="3754014" y="13956343"/>
    <xdr:ext cx="2044800" cy="607010"/>
    <xdr:pic>
      <xdr:nvPicPr>
        <xdr:cNvPr id="9" name="Picture 33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/>
      </xdr:blipFill>
      <xdr:spPr>
        <a:xfrm>
          <a:off x="3754014" y="13956343"/>
          <a:ext cx="2044800" cy="607010"/>
        </a:xfrm>
        <a:prstGeom prst="rect">
          <a:avLst/>
        </a:prstGeom>
        <a:ln>
          <a:noFill/>
        </a:ln>
      </xdr:spPr>
    </xdr:pic>
    <xdr:clientData/>
  </xdr:absoluteAnchor>
  <xdr:absoluteAnchor>
    <xdr:pos x="29436431" y="21908733"/>
    <xdr:ext cx="798537" cy="310325"/>
    <xdr:pic>
      <xdr:nvPicPr>
        <xdr:cNvPr id="10" name="Picture 34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/>
      </xdr:blipFill>
      <xdr:spPr>
        <a:xfrm>
          <a:off x="29436431" y="21908733"/>
          <a:ext cx="798537" cy="310325"/>
        </a:xfrm>
        <a:prstGeom prst="rect">
          <a:avLst/>
        </a:prstGeom>
        <a:ln>
          <a:noFill/>
        </a:ln>
      </xdr:spPr>
    </xdr:pic>
    <xdr:clientData/>
  </xdr:absoluteAnchor>
  <xdr:absoluteAnchor>
    <xdr:pos x="30975125" y="21952790"/>
    <xdr:ext cx="1060279" cy="266313"/>
    <xdr:pic>
      <xdr:nvPicPr>
        <xdr:cNvPr id="11" name="Picture 4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/>
      </xdr:blipFill>
      <xdr:spPr>
        <a:xfrm>
          <a:off x="30975125" y="21952790"/>
          <a:ext cx="1060279" cy="266313"/>
        </a:xfrm>
        <a:prstGeom prst="rect">
          <a:avLst/>
        </a:prstGeom>
        <a:ln>
          <a:noFill/>
        </a:ln>
      </xdr:spPr>
    </xdr:pic>
    <xdr:clientData/>
  </xdr:absoluteAnchor>
  <xdr:absoluteAnchor>
    <xdr:pos x="27073031" y="29907962"/>
    <xdr:ext cx="905726" cy="563"/>
    <xdr:pic>
      <xdr:nvPicPr>
        <xdr:cNvPr id="12" name="Picture 4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/>
      </xdr:blipFill>
      <xdr:spPr>
        <a:xfrm>
          <a:off x="27073031" y="29907962"/>
          <a:ext cx="905726" cy="563"/>
        </a:xfrm>
        <a:prstGeom prst="rect">
          <a:avLst/>
        </a:prstGeom>
        <a:ln>
          <a:noFill/>
        </a:ln>
      </xdr:spPr>
    </xdr:pic>
    <xdr:clientData/>
  </xdr:absoluteAnchor>
  <xdr:absoluteAnchor>
    <xdr:pos x="34048728" y="21981230"/>
    <xdr:ext cx="681458" cy="237768"/>
    <xdr:pic>
      <xdr:nvPicPr>
        <xdr:cNvPr id="13" name="Picture 45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/>
      </xdr:blipFill>
      <xdr:spPr>
        <a:xfrm>
          <a:off x="34048728" y="21981230"/>
          <a:ext cx="681458" cy="237768"/>
        </a:xfrm>
        <a:prstGeom prst="rect">
          <a:avLst/>
        </a:prstGeom>
        <a:ln>
          <a:noFill/>
        </a:ln>
      </xdr:spPr>
    </xdr:pic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5;&#1088;&#1086;&#1075;&#1088;&#1084;&#1099;%20&#1091;&#1082;&#1089;&#1077;&#1083;&#1103;/&#1056;&#1072;&#1089;&#1095;&#1077;&#1090;&#1099;%20&#1085;&#1086;&#1074;&#1099;&#1077;%20&#1074;&#1077;&#1088;&#1089;&#1080;&#1080;%20&#1041;&#1077;&#1088;&#1077;&#1079;&#1086;&#1074;&#1082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счет пропускной способности"/>
      <sheetName val="Регулятор давления"/>
      <sheetName val="Свх"/>
      <sheetName val="Тепл баланс"/>
      <sheetName val="Расчет тепл мощности"/>
      <sheetName val="Расчеты новые версии Березовка"/>
    </sheetNames>
    <sheetDataSet>
      <sheetData sheetId="0"/>
      <sheetData sheetId="1">
        <row r="5">
          <cell r="F5">
            <v>40000</v>
          </cell>
        </row>
        <row r="8">
          <cell r="F8">
            <v>1000</v>
          </cell>
        </row>
        <row r="10">
          <cell r="F10">
            <v>7.4</v>
          </cell>
        </row>
        <row r="12">
          <cell r="F12">
            <v>1.2</v>
          </cell>
        </row>
        <row r="14">
          <cell r="F14">
            <v>20</v>
          </cell>
        </row>
        <row r="16">
          <cell r="F16">
            <v>0.58502006821389363</v>
          </cell>
        </row>
        <row r="37">
          <cell r="B37">
            <v>63.228530000000006</v>
          </cell>
        </row>
        <row r="38">
          <cell r="B38">
            <v>76.466310000000007</v>
          </cell>
        </row>
        <row r="39">
          <cell r="B39">
            <v>13.237779999999999</v>
          </cell>
        </row>
        <row r="42">
          <cell r="B42">
            <v>293</v>
          </cell>
        </row>
        <row r="43">
          <cell r="B43">
            <v>0.70494918219774183</v>
          </cell>
        </row>
        <row r="44">
          <cell r="B44">
            <v>0.61963479341424998</v>
          </cell>
        </row>
      </sheetData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AG65"/>
  <sheetViews>
    <sheetView topLeftCell="A34" zoomScale="85" zoomScaleNormal="85" zoomScaleSheetLayoutView="115" workbookViewId="0">
      <selection activeCell="Q46" sqref="Q46"/>
    </sheetView>
  </sheetViews>
  <sheetFormatPr defaultRowHeight="14.4" x14ac:dyDescent="0.3"/>
  <cols>
    <col min="1" max="1" width="28.44140625" customWidth="1"/>
    <col min="2" max="2" width="13.6640625" customWidth="1"/>
    <col min="3" max="9" width="10.5546875" bestFit="1" customWidth="1"/>
    <col min="10" max="10" width="12.33203125" customWidth="1"/>
    <col min="11" max="19" width="10.5546875" bestFit="1" customWidth="1"/>
  </cols>
  <sheetData>
    <row r="1" spans="1:10" x14ac:dyDescent="0.3">
      <c r="A1" s="199" t="s">
        <v>314</v>
      </c>
      <c r="B1" s="199"/>
      <c r="C1" s="199"/>
      <c r="D1" s="199"/>
      <c r="E1" s="199"/>
      <c r="F1" s="199"/>
      <c r="G1" s="199"/>
      <c r="H1" s="199"/>
      <c r="I1" s="199"/>
      <c r="J1" s="199"/>
    </row>
    <row r="2" spans="1:10" ht="15" customHeight="1" x14ac:dyDescent="0.3">
      <c r="A2" t="s">
        <v>317</v>
      </c>
      <c r="B2" s="200"/>
      <c r="C2" s="201"/>
      <c r="D2" s="201"/>
      <c r="E2" s="201"/>
      <c r="F2" s="201"/>
      <c r="G2" s="201"/>
      <c r="H2" s="201"/>
      <c r="I2" s="201"/>
      <c r="J2" s="201"/>
    </row>
    <row r="4" spans="1:10" x14ac:dyDescent="0.3">
      <c r="A4" t="s">
        <v>341</v>
      </c>
      <c r="B4" t="s">
        <v>353</v>
      </c>
    </row>
    <row r="5" spans="1:10" x14ac:dyDescent="0.3">
      <c r="A5" t="s">
        <v>342</v>
      </c>
      <c r="B5" t="s">
        <v>354</v>
      </c>
    </row>
    <row r="6" spans="1:10" x14ac:dyDescent="0.3">
      <c r="A6" t="s">
        <v>318</v>
      </c>
      <c r="B6" t="s">
        <v>352</v>
      </c>
    </row>
    <row r="7" spans="1:10" x14ac:dyDescent="0.3">
      <c r="A7" t="s">
        <v>325</v>
      </c>
      <c r="B7" t="s">
        <v>350</v>
      </c>
    </row>
    <row r="8" spans="1:10" x14ac:dyDescent="0.3">
      <c r="A8" t="s">
        <v>331</v>
      </c>
      <c r="B8" t="s">
        <v>351</v>
      </c>
    </row>
    <row r="9" spans="1:10" ht="15" customHeight="1" x14ac:dyDescent="0.3">
      <c r="A9" t="s">
        <v>320</v>
      </c>
      <c r="B9" t="s">
        <v>343</v>
      </c>
    </row>
    <row r="10" spans="1:10" ht="80.25" customHeight="1" x14ac:dyDescent="0.3"/>
    <row r="11" spans="1:10" ht="72.75" customHeight="1" x14ac:dyDescent="0.3"/>
    <row r="12" spans="1:10" ht="15" customHeight="1" x14ac:dyDescent="0.3">
      <c r="E12" s="5" t="s">
        <v>344</v>
      </c>
    </row>
    <row r="13" spans="1:10" ht="60" customHeight="1" x14ac:dyDescent="0.3">
      <c r="A13" s="220" t="s">
        <v>345</v>
      </c>
      <c r="B13" s="220"/>
      <c r="C13" s="220"/>
      <c r="D13" s="220"/>
      <c r="E13" s="220"/>
      <c r="F13" s="220"/>
      <c r="G13" s="220"/>
      <c r="H13" s="220"/>
      <c r="I13" s="220"/>
      <c r="J13" s="220"/>
    </row>
    <row r="14" spans="1:10" ht="63" customHeight="1" x14ac:dyDescent="0.3"/>
    <row r="15" spans="1:10" ht="43.5" customHeight="1" x14ac:dyDescent="0.3">
      <c r="E15" s="5" t="s">
        <v>346</v>
      </c>
    </row>
    <row r="16" spans="1:10" ht="27.75" customHeight="1" x14ac:dyDescent="0.3">
      <c r="A16" s="220" t="s">
        <v>347</v>
      </c>
      <c r="B16" s="220"/>
      <c r="C16" s="220"/>
      <c r="D16" s="220"/>
      <c r="E16" s="220"/>
      <c r="F16" s="220"/>
      <c r="G16" s="220"/>
      <c r="H16" s="220"/>
      <c r="I16" s="220"/>
      <c r="J16" s="220"/>
    </row>
    <row r="17" spans="1:33" ht="46.5" customHeight="1" x14ac:dyDescent="0.3"/>
    <row r="18" spans="1:33" ht="51.75" customHeight="1" x14ac:dyDescent="0.3">
      <c r="E18" s="5" t="s">
        <v>348</v>
      </c>
    </row>
    <row r="19" spans="1:33" ht="15" customHeight="1" x14ac:dyDescent="0.3">
      <c r="A19" s="220" t="s">
        <v>349</v>
      </c>
      <c r="B19" s="220"/>
      <c r="C19" s="220"/>
      <c r="D19" s="220"/>
      <c r="E19" s="220"/>
      <c r="F19" s="220"/>
      <c r="G19" s="220"/>
      <c r="H19" s="220"/>
      <c r="I19" s="220"/>
      <c r="J19" s="220"/>
    </row>
    <row r="20" spans="1:33" ht="45.75" customHeight="1" x14ac:dyDescent="0.3"/>
    <row r="21" spans="1:33" ht="33" customHeight="1" x14ac:dyDescent="0.3"/>
    <row r="22" spans="1:33" ht="15" customHeight="1" x14ac:dyDescent="0.3">
      <c r="B22" s="204">
        <v>1.2</v>
      </c>
      <c r="C22" s="204">
        <v>1.4</v>
      </c>
      <c r="D22" s="204">
        <v>1.6</v>
      </c>
      <c r="E22" s="204">
        <v>1.8</v>
      </c>
      <c r="F22" s="204">
        <v>2</v>
      </c>
      <c r="G22" s="204">
        <v>2.2000000000000002</v>
      </c>
      <c r="H22" s="204">
        <v>2.4000000000000004</v>
      </c>
      <c r="I22" s="204">
        <v>2.6</v>
      </c>
      <c r="J22" s="204">
        <v>2.8</v>
      </c>
      <c r="K22" s="204">
        <v>3</v>
      </c>
      <c r="L22" s="204">
        <v>3.2</v>
      </c>
      <c r="M22" s="204">
        <v>3.4000000000000004</v>
      </c>
      <c r="N22" s="204">
        <v>3.6000000000000005</v>
      </c>
      <c r="O22" s="204">
        <v>3.8</v>
      </c>
      <c r="P22" s="204">
        <v>4</v>
      </c>
      <c r="Q22" s="204">
        <v>4.2</v>
      </c>
      <c r="R22" s="204">
        <v>4.4000000000000004</v>
      </c>
      <c r="S22" s="204">
        <v>4.6000000000000005</v>
      </c>
      <c r="T22" s="204">
        <v>4.8</v>
      </c>
      <c r="U22" s="204">
        <v>5</v>
      </c>
      <c r="V22" s="204">
        <v>5.2</v>
      </c>
      <c r="W22" s="204">
        <v>5.4</v>
      </c>
      <c r="X22" s="204">
        <v>5.6000000000000005</v>
      </c>
      <c r="Y22" s="204">
        <v>5.8000000000000007</v>
      </c>
      <c r="Z22" s="204">
        <v>6.0000000000000009</v>
      </c>
      <c r="AA22" s="204">
        <v>6.2</v>
      </c>
      <c r="AB22" s="204">
        <v>6.4</v>
      </c>
      <c r="AC22" s="204">
        <v>6.6000000000000005</v>
      </c>
      <c r="AD22" s="204">
        <v>6.8000000000000007</v>
      </c>
      <c r="AE22" s="204">
        <v>7.0000000000000009</v>
      </c>
      <c r="AF22" s="204">
        <v>7.2</v>
      </c>
      <c r="AG22" s="204">
        <v>7.4</v>
      </c>
    </row>
    <row r="23" spans="1:33" ht="15" customHeight="1" x14ac:dyDescent="0.3">
      <c r="A23" s="204">
        <v>0.2</v>
      </c>
      <c r="B23" s="204">
        <v>22605.23</v>
      </c>
      <c r="C23" s="204">
        <v>26033.26</v>
      </c>
      <c r="D23" s="204">
        <v>29441.88</v>
      </c>
      <c r="E23" s="204">
        <v>32400</v>
      </c>
      <c r="F23" s="204">
        <v>32400</v>
      </c>
      <c r="G23" s="204">
        <v>32400</v>
      </c>
      <c r="H23" s="204">
        <v>32400</v>
      </c>
      <c r="I23" s="204">
        <v>32400</v>
      </c>
      <c r="J23" s="204">
        <v>32400</v>
      </c>
      <c r="K23" s="204">
        <v>32400</v>
      </c>
      <c r="L23" s="204">
        <v>32400</v>
      </c>
      <c r="M23" s="204">
        <v>32400</v>
      </c>
      <c r="N23" s="204">
        <v>32400</v>
      </c>
      <c r="O23" s="204">
        <v>32400</v>
      </c>
      <c r="P23" s="204">
        <v>32400</v>
      </c>
      <c r="Q23" s="204">
        <v>32400</v>
      </c>
      <c r="R23" s="204">
        <v>32400</v>
      </c>
      <c r="S23" s="204">
        <v>32400</v>
      </c>
      <c r="T23" s="204">
        <v>32400</v>
      </c>
      <c r="U23" s="204">
        <v>32400</v>
      </c>
      <c r="V23" s="204">
        <v>32400</v>
      </c>
      <c r="W23" s="204">
        <v>32400</v>
      </c>
      <c r="X23" s="204">
        <v>32400</v>
      </c>
      <c r="Y23" s="204">
        <v>32400</v>
      </c>
      <c r="Z23" s="204">
        <v>32400</v>
      </c>
      <c r="AA23" s="204">
        <v>32400</v>
      </c>
      <c r="AB23" s="204">
        <v>32400</v>
      </c>
      <c r="AC23" s="204">
        <v>32400</v>
      </c>
      <c r="AD23" s="204">
        <v>32400</v>
      </c>
      <c r="AE23" s="204">
        <v>32400</v>
      </c>
      <c r="AF23" s="204">
        <v>32400</v>
      </c>
      <c r="AG23" s="204">
        <v>32400</v>
      </c>
    </row>
    <row r="24" spans="1:33" ht="15" customHeight="1" x14ac:dyDescent="0.3">
      <c r="A24" s="204">
        <v>0.30000000000000004</v>
      </c>
      <c r="B24" s="204">
        <v>22629.13</v>
      </c>
      <c r="C24" s="204">
        <v>26060.67</v>
      </c>
      <c r="D24" s="204">
        <v>29477.89</v>
      </c>
      <c r="E24" s="204">
        <v>32875.22</v>
      </c>
      <c r="F24" s="204">
        <v>36263.660000000003</v>
      </c>
      <c r="G24" s="204">
        <v>39638.19</v>
      </c>
      <c r="H24" s="204">
        <v>43006.33</v>
      </c>
      <c r="I24" s="204">
        <v>43328</v>
      </c>
      <c r="J24" s="204">
        <v>43328</v>
      </c>
      <c r="K24" s="204">
        <v>43328</v>
      </c>
      <c r="L24" s="204">
        <v>43328</v>
      </c>
      <c r="M24" s="204">
        <v>43328</v>
      </c>
      <c r="N24" s="204">
        <v>43328</v>
      </c>
      <c r="O24" s="204">
        <v>43328</v>
      </c>
      <c r="P24" s="204">
        <v>43328</v>
      </c>
      <c r="Q24" s="204">
        <v>43328</v>
      </c>
      <c r="R24" s="204">
        <v>43328</v>
      </c>
      <c r="S24" s="204">
        <v>43328</v>
      </c>
      <c r="T24" s="204">
        <v>43328</v>
      </c>
      <c r="U24" s="204">
        <v>43328</v>
      </c>
      <c r="V24" s="204">
        <v>43328</v>
      </c>
      <c r="W24" s="204">
        <v>43328</v>
      </c>
      <c r="X24" s="204">
        <v>43328</v>
      </c>
      <c r="Y24" s="204">
        <v>43328</v>
      </c>
      <c r="Z24" s="204">
        <v>43328</v>
      </c>
      <c r="AA24" s="204">
        <v>43328</v>
      </c>
      <c r="AB24" s="204">
        <v>43328</v>
      </c>
      <c r="AC24" s="204">
        <v>43328</v>
      </c>
      <c r="AD24" s="204">
        <v>43328</v>
      </c>
      <c r="AE24" s="204">
        <v>43328</v>
      </c>
      <c r="AF24" s="204">
        <v>43328</v>
      </c>
      <c r="AG24" s="204">
        <v>43328</v>
      </c>
    </row>
    <row r="25" spans="1:33" ht="20.25" customHeight="1" x14ac:dyDescent="0.3">
      <c r="A25" s="204">
        <v>0.4</v>
      </c>
      <c r="B25" s="204">
        <v>22653.1</v>
      </c>
      <c r="C25" s="204">
        <v>26088.16</v>
      </c>
      <c r="D25" s="204">
        <v>29508.86</v>
      </c>
      <c r="E25" s="204">
        <v>32915.339999999997</v>
      </c>
      <c r="F25" s="204">
        <v>36307.730000000003</v>
      </c>
      <c r="G25" s="204">
        <v>39686.160000000003</v>
      </c>
      <c r="H25" s="204">
        <v>43050.76</v>
      </c>
      <c r="I25" s="204">
        <v>46401.67</v>
      </c>
      <c r="J25" s="204">
        <v>49738.99</v>
      </c>
      <c r="K25" s="204">
        <v>53071.9</v>
      </c>
      <c r="L25" s="204">
        <v>54290</v>
      </c>
      <c r="M25" s="204">
        <v>54290</v>
      </c>
      <c r="N25" s="204">
        <v>54290</v>
      </c>
      <c r="O25" s="204">
        <v>54290</v>
      </c>
      <c r="P25" s="204">
        <v>54290</v>
      </c>
      <c r="Q25" s="204">
        <v>54290</v>
      </c>
      <c r="R25" s="204">
        <v>54290</v>
      </c>
      <c r="S25" s="204">
        <v>54290</v>
      </c>
      <c r="T25" s="204">
        <v>54290</v>
      </c>
      <c r="U25" s="204">
        <v>54290</v>
      </c>
      <c r="V25" s="204">
        <v>54290</v>
      </c>
      <c r="W25" s="204">
        <v>54290</v>
      </c>
      <c r="X25" s="204">
        <v>54290</v>
      </c>
      <c r="Y25" s="204">
        <v>54290</v>
      </c>
      <c r="Z25" s="204">
        <v>54290</v>
      </c>
      <c r="AA25" s="204">
        <v>54290</v>
      </c>
      <c r="AB25" s="204">
        <v>54290</v>
      </c>
      <c r="AC25" s="204">
        <v>54290</v>
      </c>
      <c r="AD25" s="204">
        <v>54290</v>
      </c>
      <c r="AE25" s="204">
        <v>54290</v>
      </c>
      <c r="AF25" s="204">
        <v>54290</v>
      </c>
      <c r="AG25" s="204">
        <v>54290</v>
      </c>
    </row>
    <row r="26" spans="1:33" x14ac:dyDescent="0.3">
      <c r="A26" s="204">
        <v>0.5</v>
      </c>
      <c r="B26" s="204">
        <v>22681.17</v>
      </c>
      <c r="C26" s="204">
        <v>26115.74</v>
      </c>
      <c r="D26" s="204">
        <v>29539.93</v>
      </c>
      <c r="E26" s="204">
        <v>32949.85</v>
      </c>
      <c r="F26" s="204">
        <v>36345.64</v>
      </c>
      <c r="G26" s="204">
        <v>39727.42</v>
      </c>
      <c r="H26" s="204">
        <v>43095.34</v>
      </c>
      <c r="I26" s="204">
        <v>46449.51</v>
      </c>
      <c r="J26" s="204">
        <v>49790.07</v>
      </c>
      <c r="K26" s="204">
        <v>53126.2</v>
      </c>
      <c r="L26" s="204">
        <v>56440.42</v>
      </c>
      <c r="M26" s="204">
        <v>59751.51</v>
      </c>
      <c r="N26" s="204">
        <v>63050.49</v>
      </c>
      <c r="O26" s="204">
        <v>65319</v>
      </c>
      <c r="P26" s="204">
        <v>65319</v>
      </c>
      <c r="Q26" s="204">
        <v>65319</v>
      </c>
      <c r="R26" s="204">
        <v>65319</v>
      </c>
      <c r="S26" s="204">
        <v>65319</v>
      </c>
      <c r="T26" s="204">
        <v>65319</v>
      </c>
      <c r="U26" s="204">
        <v>65319</v>
      </c>
      <c r="V26" s="204">
        <v>65319</v>
      </c>
      <c r="W26" s="204">
        <v>65319</v>
      </c>
      <c r="X26" s="204">
        <v>65319</v>
      </c>
      <c r="Y26" s="204">
        <v>65319</v>
      </c>
      <c r="Z26" s="204">
        <v>65319</v>
      </c>
      <c r="AA26" s="204">
        <v>65319</v>
      </c>
      <c r="AB26" s="204">
        <v>65319</v>
      </c>
      <c r="AC26" s="204">
        <v>65319</v>
      </c>
      <c r="AD26" s="204">
        <v>65319</v>
      </c>
      <c r="AE26" s="204">
        <v>65319</v>
      </c>
      <c r="AF26" s="204">
        <v>65319</v>
      </c>
      <c r="AG26" s="204">
        <v>65319</v>
      </c>
    </row>
    <row r="27" spans="1:33" x14ac:dyDescent="0.3">
      <c r="A27" s="204">
        <v>0.60000000000000009</v>
      </c>
      <c r="B27" s="204">
        <v>22705.31</v>
      </c>
      <c r="C27" s="204">
        <v>26143.41</v>
      </c>
      <c r="D27" s="204">
        <v>29571.1</v>
      </c>
      <c r="E27" s="204">
        <v>32984.47</v>
      </c>
      <c r="F27" s="204">
        <v>36383.660000000003</v>
      </c>
      <c r="G27" s="204">
        <v>39768.81</v>
      </c>
      <c r="H27" s="204">
        <v>43140.05</v>
      </c>
      <c r="I27" s="204">
        <v>46497.5</v>
      </c>
      <c r="J27" s="204">
        <v>49841.3</v>
      </c>
      <c r="K27" s="204">
        <v>53180.66</v>
      </c>
      <c r="L27" s="204">
        <v>56498.04</v>
      </c>
      <c r="M27" s="204">
        <v>59812.28</v>
      </c>
      <c r="N27" s="204">
        <v>63114.38</v>
      </c>
      <c r="O27" s="204">
        <v>66404.45</v>
      </c>
      <c r="P27" s="204">
        <v>69682.58</v>
      </c>
      <c r="Q27" s="204">
        <v>72948.88</v>
      </c>
      <c r="R27" s="204">
        <v>76216.12</v>
      </c>
      <c r="S27" s="204">
        <v>76416</v>
      </c>
      <c r="T27" s="204">
        <v>76416</v>
      </c>
      <c r="U27" s="204">
        <v>76416</v>
      </c>
      <c r="V27" s="204">
        <v>76416</v>
      </c>
      <c r="W27" s="204">
        <v>76416</v>
      </c>
      <c r="X27" s="204">
        <v>76416</v>
      </c>
      <c r="Y27" s="204">
        <v>76416</v>
      </c>
      <c r="Z27" s="204">
        <v>76416</v>
      </c>
      <c r="AA27" s="204">
        <v>76416</v>
      </c>
      <c r="AB27" s="204">
        <v>76416</v>
      </c>
      <c r="AC27" s="204">
        <v>76416</v>
      </c>
      <c r="AD27" s="204">
        <v>76416</v>
      </c>
      <c r="AE27" s="204">
        <v>76416</v>
      </c>
      <c r="AF27" s="204">
        <v>76416</v>
      </c>
      <c r="AG27" s="204">
        <v>76416</v>
      </c>
    </row>
    <row r="28" spans="1:33" x14ac:dyDescent="0.3">
      <c r="A28" s="204">
        <v>0.7</v>
      </c>
      <c r="B28" s="204">
        <v>21307.59</v>
      </c>
      <c r="C28" s="204">
        <v>26175.81</v>
      </c>
      <c r="D28" s="204">
        <v>29602.36</v>
      </c>
      <c r="E28" s="204">
        <v>33019.19</v>
      </c>
      <c r="F28" s="204">
        <v>36421.81</v>
      </c>
      <c r="G28" s="204">
        <v>39810.33</v>
      </c>
      <c r="H28" s="204">
        <v>43184.9</v>
      </c>
      <c r="I28" s="204">
        <v>46545.65</v>
      </c>
      <c r="J28" s="204">
        <v>49892.69</v>
      </c>
      <c r="K28" s="204">
        <v>53235.28</v>
      </c>
      <c r="L28" s="204">
        <v>56555.839999999997</v>
      </c>
      <c r="M28" s="204">
        <v>59873.24</v>
      </c>
      <c r="N28" s="204">
        <v>63178.47</v>
      </c>
      <c r="O28" s="204">
        <v>66471.63</v>
      </c>
      <c r="P28" s="204">
        <v>69752.820000000007</v>
      </c>
      <c r="Q28" s="204">
        <v>73022.13</v>
      </c>
      <c r="R28" s="204">
        <v>76292.399999999994</v>
      </c>
      <c r="S28" s="204">
        <v>79538.759999999995</v>
      </c>
      <c r="T28" s="204">
        <v>82787.240000000005</v>
      </c>
      <c r="U28" s="204">
        <v>86039.42</v>
      </c>
      <c r="V28" s="204">
        <v>87581</v>
      </c>
      <c r="W28" s="204">
        <v>87581</v>
      </c>
      <c r="X28" s="204">
        <v>87581</v>
      </c>
      <c r="Y28" s="204">
        <v>87581</v>
      </c>
      <c r="Z28" s="204">
        <v>87581</v>
      </c>
      <c r="AA28" s="204">
        <v>87581</v>
      </c>
      <c r="AB28" s="204">
        <v>87581</v>
      </c>
      <c r="AC28" s="204">
        <v>87581</v>
      </c>
      <c r="AD28" s="204">
        <v>87581</v>
      </c>
      <c r="AE28" s="204">
        <v>87581</v>
      </c>
      <c r="AF28" s="204">
        <v>87581</v>
      </c>
      <c r="AG28" s="204">
        <v>87581</v>
      </c>
    </row>
    <row r="29" spans="1:33" x14ac:dyDescent="0.3">
      <c r="A29" s="204">
        <v>0.8</v>
      </c>
      <c r="B29" s="204">
        <v>19900.150000000001</v>
      </c>
      <c r="C29" s="204">
        <v>24833.72</v>
      </c>
      <c r="D29" s="204">
        <v>29638.959999999999</v>
      </c>
      <c r="E29" s="204">
        <v>33054.03</v>
      </c>
      <c r="F29" s="204">
        <v>36460.07</v>
      </c>
      <c r="G29" s="204">
        <v>39851.980000000003</v>
      </c>
      <c r="H29" s="204">
        <v>43229.89</v>
      </c>
      <c r="I29" s="204">
        <v>46593.94</v>
      </c>
      <c r="J29" s="204">
        <v>49952.85</v>
      </c>
      <c r="K29" s="204">
        <v>53290.080000000002</v>
      </c>
      <c r="L29" s="204">
        <v>56613.82</v>
      </c>
      <c r="M29" s="204">
        <v>59934.39</v>
      </c>
      <c r="N29" s="204">
        <v>63242.75</v>
      </c>
      <c r="O29" s="204">
        <v>66539.009999999995</v>
      </c>
      <c r="P29" s="204">
        <v>69823.259999999995</v>
      </c>
      <c r="Q29" s="204">
        <v>73095.61</v>
      </c>
      <c r="R29" s="204">
        <v>76368.91</v>
      </c>
      <c r="S29" s="204">
        <v>79618.23</v>
      </c>
      <c r="T29" s="204">
        <v>82869.69</v>
      </c>
      <c r="U29" s="204">
        <v>86110.59</v>
      </c>
      <c r="V29" s="204">
        <v>89341.02</v>
      </c>
      <c r="W29" s="204">
        <v>92561.05</v>
      </c>
      <c r="X29" s="204">
        <v>95802.16</v>
      </c>
      <c r="Y29" s="204">
        <v>99002.57</v>
      </c>
      <c r="Z29" s="204">
        <v>99019</v>
      </c>
      <c r="AA29" s="204">
        <v>99019</v>
      </c>
      <c r="AB29" s="204">
        <v>99019</v>
      </c>
      <c r="AC29" s="204">
        <v>99019</v>
      </c>
      <c r="AD29" s="204">
        <v>97108</v>
      </c>
      <c r="AE29" s="204">
        <v>95058</v>
      </c>
      <c r="AF29" s="204">
        <v>93093</v>
      </c>
      <c r="AG29" s="204">
        <v>91672</v>
      </c>
    </row>
    <row r="30" spans="1:33" x14ac:dyDescent="0.3">
      <c r="A30" s="204">
        <v>0.9</v>
      </c>
      <c r="B30" s="204">
        <v>17964.86</v>
      </c>
      <c r="C30" s="204">
        <v>23548.400000000001</v>
      </c>
      <c r="D30" s="204">
        <v>28339.11</v>
      </c>
      <c r="E30" s="204">
        <v>33088.980000000003</v>
      </c>
      <c r="F30" s="204">
        <v>36498.46</v>
      </c>
      <c r="G30" s="204">
        <v>39893.760000000002</v>
      </c>
      <c r="H30" s="204">
        <v>43275.03</v>
      </c>
      <c r="I30" s="204">
        <v>46642.38</v>
      </c>
      <c r="J30" s="204">
        <v>50004.59</v>
      </c>
      <c r="K30" s="204">
        <v>53345.05</v>
      </c>
      <c r="L30" s="204">
        <v>56671.97</v>
      </c>
      <c r="M30" s="204">
        <v>59995.72</v>
      </c>
      <c r="N30" s="204">
        <v>63307.23</v>
      </c>
      <c r="O30" s="204">
        <v>66606.600000000006</v>
      </c>
      <c r="P30" s="204">
        <v>69893.919999999998</v>
      </c>
      <c r="Q30" s="204">
        <v>73169.3</v>
      </c>
      <c r="R30" s="204">
        <v>76445.649999999994</v>
      </c>
      <c r="S30" s="204">
        <v>79697.94</v>
      </c>
      <c r="T30" s="204">
        <v>82952.38</v>
      </c>
      <c r="U30" s="204">
        <v>86196.23</v>
      </c>
      <c r="V30" s="204">
        <v>89429.58</v>
      </c>
      <c r="W30" s="204">
        <v>92652.5</v>
      </c>
      <c r="X30" s="204">
        <v>95880.81</v>
      </c>
      <c r="Y30" s="204">
        <v>99099.81</v>
      </c>
      <c r="Z30" s="204">
        <v>102309.54</v>
      </c>
      <c r="AA30" s="204">
        <v>105064</v>
      </c>
      <c r="AB30" s="204">
        <v>102656</v>
      </c>
      <c r="AC30" s="204">
        <v>100075</v>
      </c>
      <c r="AD30" s="204">
        <v>98156</v>
      </c>
      <c r="AE30" s="204">
        <v>96051</v>
      </c>
      <c r="AF30" s="204">
        <v>94034</v>
      </c>
      <c r="AG30" s="204">
        <v>92576</v>
      </c>
    </row>
    <row r="31" spans="1:33" x14ac:dyDescent="0.3">
      <c r="A31" s="204">
        <v>1</v>
      </c>
      <c r="B31" s="204">
        <v>15269</v>
      </c>
      <c r="C31" s="204">
        <v>21849.72</v>
      </c>
      <c r="D31" s="204">
        <v>27142.84</v>
      </c>
      <c r="E31" s="204">
        <v>31828.33</v>
      </c>
      <c r="F31" s="204">
        <v>36543.39</v>
      </c>
      <c r="G31" s="204">
        <v>39935.67</v>
      </c>
      <c r="H31" s="204">
        <v>43320.3</v>
      </c>
      <c r="I31" s="204">
        <v>46690.98</v>
      </c>
      <c r="J31" s="204">
        <v>50056.49</v>
      </c>
      <c r="K31" s="204">
        <v>53400.19</v>
      </c>
      <c r="L31" s="204">
        <v>56730.31</v>
      </c>
      <c r="M31" s="204">
        <v>60057.25</v>
      </c>
      <c r="N31" s="204">
        <v>63371.91</v>
      </c>
      <c r="O31" s="204">
        <v>66674.39</v>
      </c>
      <c r="P31" s="204">
        <v>69952.97</v>
      </c>
      <c r="Q31" s="204">
        <v>73243.23</v>
      </c>
      <c r="R31" s="204">
        <v>76509.78</v>
      </c>
      <c r="S31" s="204">
        <v>79777.89</v>
      </c>
      <c r="T31" s="204">
        <v>83035.320000000007</v>
      </c>
      <c r="U31" s="204">
        <v>86282.13</v>
      </c>
      <c r="V31" s="204">
        <v>89518.399999999994</v>
      </c>
      <c r="W31" s="204">
        <v>92744.22</v>
      </c>
      <c r="X31" s="204">
        <v>95975.45</v>
      </c>
      <c r="Y31" s="204">
        <v>99181.06</v>
      </c>
      <c r="Z31" s="204">
        <v>102393.17</v>
      </c>
      <c r="AA31" s="204">
        <v>105613.3</v>
      </c>
      <c r="AB31" s="204">
        <v>103573</v>
      </c>
      <c r="AC31" s="204">
        <v>101219</v>
      </c>
      <c r="AD31" s="204">
        <v>98969</v>
      </c>
      <c r="AE31" s="204">
        <v>96818</v>
      </c>
      <c r="AF31" s="204">
        <v>94758</v>
      </c>
      <c r="AG31" s="204">
        <v>93269</v>
      </c>
    </row>
    <row r="32" spans="1:33" x14ac:dyDescent="0.3">
      <c r="A32" s="204">
        <v>1.1000000000000001</v>
      </c>
      <c r="B32" s="204">
        <v>11632.91</v>
      </c>
      <c r="C32" s="204">
        <v>19605.79</v>
      </c>
      <c r="D32" s="204">
        <v>25606.7</v>
      </c>
      <c r="E32" s="204">
        <v>30700.34</v>
      </c>
      <c r="F32" s="204">
        <v>35304.1</v>
      </c>
      <c r="G32" s="204">
        <v>39977.72</v>
      </c>
      <c r="H32" s="204">
        <v>43365.72</v>
      </c>
      <c r="I32" s="204">
        <v>46747.86</v>
      </c>
      <c r="J32" s="204">
        <v>50108.55</v>
      </c>
      <c r="K32" s="204">
        <v>53455.49</v>
      </c>
      <c r="L32" s="204">
        <v>56788.82</v>
      </c>
      <c r="M32" s="204">
        <v>60118.96</v>
      </c>
      <c r="N32" s="204">
        <v>63436.78</v>
      </c>
      <c r="O32" s="204">
        <v>66742.39</v>
      </c>
      <c r="P32" s="204">
        <v>70024.02</v>
      </c>
      <c r="Q32" s="204">
        <v>73317.37</v>
      </c>
      <c r="R32" s="204">
        <v>76586.94</v>
      </c>
      <c r="S32" s="204">
        <v>79858.09</v>
      </c>
      <c r="T32" s="204">
        <v>83104.62</v>
      </c>
      <c r="U32" s="204">
        <v>86353.9</v>
      </c>
      <c r="V32" s="204">
        <v>89592.62</v>
      </c>
      <c r="W32" s="204">
        <v>92820.86</v>
      </c>
      <c r="X32" s="204">
        <v>96070.36</v>
      </c>
      <c r="Y32" s="204">
        <v>99278.82</v>
      </c>
      <c r="Z32" s="204">
        <v>102493.81</v>
      </c>
      <c r="AA32" s="204">
        <v>105699.55</v>
      </c>
      <c r="AB32" s="204">
        <v>104811</v>
      </c>
      <c r="AC32" s="204">
        <v>102394</v>
      </c>
      <c r="AD32" s="204">
        <v>100087</v>
      </c>
      <c r="AE32" s="204">
        <v>97881</v>
      </c>
      <c r="AF32" s="204">
        <v>95770</v>
      </c>
      <c r="AG32" s="204">
        <v>94246</v>
      </c>
    </row>
    <row r="33" spans="1:33" x14ac:dyDescent="0.3">
      <c r="A33" s="204">
        <v>1.2</v>
      </c>
      <c r="B33" s="204">
        <v>0</v>
      </c>
      <c r="C33" s="204">
        <v>16570.22</v>
      </c>
      <c r="D33" s="204">
        <v>23646.23</v>
      </c>
      <c r="E33" s="204">
        <v>29283.7</v>
      </c>
      <c r="F33" s="204">
        <v>34230.449999999997</v>
      </c>
      <c r="G33" s="204">
        <v>38768.17</v>
      </c>
      <c r="H33" s="204">
        <v>43418.89</v>
      </c>
      <c r="I33" s="204">
        <v>46796.79</v>
      </c>
      <c r="J33" s="204">
        <v>50160.77</v>
      </c>
      <c r="K33" s="204">
        <v>53510.97</v>
      </c>
      <c r="L33" s="204">
        <v>56847.519999999997</v>
      </c>
      <c r="M33" s="204">
        <v>60180.87</v>
      </c>
      <c r="N33" s="204">
        <v>63501.86</v>
      </c>
      <c r="O33" s="204">
        <v>66810.600000000006</v>
      </c>
      <c r="P33" s="204">
        <v>70095.289999999994</v>
      </c>
      <c r="Q33" s="204">
        <v>73379.33</v>
      </c>
      <c r="R33" s="204">
        <v>76664.34</v>
      </c>
      <c r="S33" s="204">
        <v>79938.52</v>
      </c>
      <c r="T33" s="204">
        <v>83188.02</v>
      </c>
      <c r="U33" s="204">
        <v>86440.27</v>
      </c>
      <c r="V33" s="204">
        <v>89681.93</v>
      </c>
      <c r="W33" s="204">
        <v>92913.08</v>
      </c>
      <c r="X33" s="204">
        <v>96149.68</v>
      </c>
      <c r="Y33" s="204">
        <v>99360.51</v>
      </c>
      <c r="Z33" s="204">
        <v>102577.89</v>
      </c>
      <c r="AA33" s="204">
        <v>105803.32</v>
      </c>
      <c r="AB33" s="204">
        <v>106114</v>
      </c>
      <c r="AC33" s="204">
        <v>103322</v>
      </c>
      <c r="AD33" s="204">
        <v>101250</v>
      </c>
      <c r="AE33" s="204">
        <v>98704</v>
      </c>
      <c r="AF33" s="204">
        <v>96811</v>
      </c>
      <c r="AG33" s="204">
        <v>94990</v>
      </c>
    </row>
    <row r="36" spans="1:33" ht="21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</sheetData>
  <dataConsolidate/>
  <mergeCells count="3">
    <mergeCell ref="A13:J13"/>
    <mergeCell ref="A16:J16"/>
    <mergeCell ref="A19:J19"/>
  </mergeCells>
  <pageMargins left="0.9055118110236221" right="0.70866141732283472" top="0.74803149606299213" bottom="0.74803149606299213" header="0.31496062992125984" footer="0.31496062992125984"/>
  <pageSetup paperSize="9" scale="65" orientation="portrait" r:id="rId1"/>
  <rowBreaks count="1" manualBreakCount="1">
    <brk id="71" max="16383" man="1"/>
  </rowBreaks>
  <colBreaks count="1" manualBreakCount="1">
    <brk id="10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G42"/>
  <sheetViews>
    <sheetView view="pageBreakPreview" zoomScale="85" zoomScaleNormal="70" zoomScaleSheetLayoutView="85" workbookViewId="0">
      <selection activeCell="L14" sqref="L14"/>
    </sheetView>
  </sheetViews>
  <sheetFormatPr defaultRowHeight="14.4" x14ac:dyDescent="0.3"/>
  <cols>
    <col min="1" max="1" width="16.44140625" customWidth="1"/>
    <col min="3" max="3" width="14.5546875" customWidth="1"/>
    <col min="7" max="7" width="17.44140625" bestFit="1" customWidth="1"/>
    <col min="8" max="8" width="26.88671875" bestFit="1" customWidth="1"/>
    <col min="9" max="9" width="28.109375" bestFit="1" customWidth="1"/>
    <col min="10" max="11" width="18" bestFit="1" customWidth="1"/>
    <col min="12" max="12" width="18.5546875" bestFit="1" customWidth="1"/>
  </cols>
  <sheetData>
    <row r="1" spans="1:33" ht="20.399999999999999" x14ac:dyDescent="0.35">
      <c r="A1" s="1" t="s">
        <v>0</v>
      </c>
      <c r="B1" s="1"/>
      <c r="C1" s="1"/>
      <c r="D1" s="1"/>
      <c r="E1" s="1"/>
      <c r="F1" s="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3" x14ac:dyDescent="0.3">
      <c r="A2" s="3" t="s">
        <v>315</v>
      </c>
      <c r="B2" s="3">
        <v>1.2</v>
      </c>
      <c r="C2" s="3">
        <v>1.4</v>
      </c>
      <c r="D2" s="3">
        <v>1.6</v>
      </c>
      <c r="E2" s="3">
        <v>1.8</v>
      </c>
      <c r="F2" s="3">
        <v>2</v>
      </c>
      <c r="G2" s="3">
        <v>2.2000000000000002</v>
      </c>
      <c r="H2" s="3">
        <v>2.4000000000000004</v>
      </c>
      <c r="I2" s="3">
        <v>2.6</v>
      </c>
      <c r="J2" s="3">
        <v>2.8</v>
      </c>
      <c r="K2" s="3">
        <v>3</v>
      </c>
      <c r="L2" s="3">
        <v>3.2</v>
      </c>
      <c r="M2" s="3">
        <v>3.4000000000000004</v>
      </c>
      <c r="N2" s="3">
        <v>3.6000000000000005</v>
      </c>
      <c r="O2" s="3">
        <v>3.8</v>
      </c>
      <c r="P2" s="3">
        <v>4</v>
      </c>
      <c r="Q2" s="3">
        <v>4.2</v>
      </c>
      <c r="R2" s="3">
        <v>4.4000000000000004</v>
      </c>
      <c r="S2" s="3">
        <v>4.6000000000000005</v>
      </c>
      <c r="T2" s="3">
        <v>4.8</v>
      </c>
      <c r="U2" s="3">
        <v>5</v>
      </c>
      <c r="V2" s="3">
        <v>5.2</v>
      </c>
      <c r="W2" s="3">
        <v>5.4</v>
      </c>
      <c r="X2" s="3">
        <v>5.6000000000000005</v>
      </c>
      <c r="Y2" s="3">
        <v>5.8000000000000007</v>
      </c>
      <c r="Z2" s="3">
        <v>6.0000000000000009</v>
      </c>
      <c r="AA2" s="3">
        <v>6.2</v>
      </c>
      <c r="AB2" s="3">
        <v>6.4</v>
      </c>
      <c r="AC2" s="3">
        <v>6.6000000000000005</v>
      </c>
      <c r="AD2" s="3">
        <v>6.8000000000000007</v>
      </c>
      <c r="AE2" s="3">
        <v>7.0000000000000009</v>
      </c>
      <c r="AF2" s="3">
        <v>7.2</v>
      </c>
      <c r="AG2" s="3">
        <v>7.4</v>
      </c>
    </row>
    <row r="3" spans="1:33" x14ac:dyDescent="0.3">
      <c r="A3" s="3" t="s">
        <v>316</v>
      </c>
      <c r="B3" s="3">
        <v>0.2</v>
      </c>
      <c r="C3" s="3">
        <v>0.30000000000000004</v>
      </c>
      <c r="D3" s="3">
        <v>0.4</v>
      </c>
      <c r="E3" s="3">
        <v>0.5</v>
      </c>
      <c r="F3" s="3">
        <v>0.60000000000000009</v>
      </c>
      <c r="G3" s="3">
        <v>0.7</v>
      </c>
      <c r="H3" s="3">
        <v>0.8</v>
      </c>
      <c r="I3" s="3">
        <v>0.9</v>
      </c>
      <c r="J3" s="3">
        <v>1</v>
      </c>
      <c r="K3" s="3">
        <v>1.1000000000000001</v>
      </c>
      <c r="L3" s="3">
        <v>1.2</v>
      </c>
      <c r="M3" s="3"/>
      <c r="N3" s="3"/>
      <c r="O3" s="3"/>
      <c r="P3" s="3"/>
      <c r="Q3" s="3"/>
      <c r="R3" s="2"/>
      <c r="S3" s="2"/>
      <c r="T3" s="2"/>
      <c r="U3" s="2"/>
      <c r="V3" s="2"/>
      <c r="W3" s="2"/>
    </row>
    <row r="4" spans="1:33" x14ac:dyDescent="0.3">
      <c r="A4" s="4"/>
      <c r="B4" s="4"/>
      <c r="C4" s="4"/>
      <c r="D4" s="4"/>
      <c r="E4" s="4"/>
      <c r="F4" s="4"/>
      <c r="G4" s="5"/>
      <c r="H4" s="5"/>
      <c r="I4" s="4"/>
      <c r="J4" s="4"/>
      <c r="K4" s="4"/>
      <c r="L4" s="4"/>
      <c r="M4" s="4"/>
      <c r="N4" s="4"/>
      <c r="O4" s="4"/>
      <c r="P4" s="4"/>
      <c r="Q4" s="4"/>
      <c r="R4" s="2"/>
      <c r="S4" s="2"/>
      <c r="T4" s="2"/>
      <c r="U4" s="2"/>
      <c r="V4" s="2"/>
      <c r="W4" s="2"/>
    </row>
    <row r="5" spans="1:33" x14ac:dyDescent="0.3">
      <c r="A5" s="4"/>
      <c r="B5" s="4"/>
      <c r="C5" s="4"/>
      <c r="D5" s="4"/>
      <c r="E5" s="4"/>
      <c r="F5" s="4"/>
      <c r="G5" s="5"/>
      <c r="H5" s="5"/>
      <c r="I5" s="4"/>
      <c r="J5" s="4"/>
      <c r="K5" s="4"/>
      <c r="L5" s="4"/>
      <c r="M5" s="4"/>
      <c r="N5" s="4"/>
      <c r="O5" s="4"/>
      <c r="P5" s="4"/>
      <c r="Q5" s="4"/>
      <c r="R5" s="2"/>
      <c r="S5" s="2"/>
      <c r="T5" s="2"/>
      <c r="U5" s="2"/>
      <c r="V5" s="2"/>
      <c r="W5" s="2"/>
    </row>
    <row r="6" spans="1:33" x14ac:dyDescent="0.3">
      <c r="A6" s="4"/>
      <c r="B6" s="4"/>
      <c r="C6" s="4"/>
      <c r="D6" s="4"/>
      <c r="E6" s="4"/>
      <c r="O6" s="4"/>
      <c r="P6" s="4"/>
      <c r="Q6" s="4"/>
      <c r="R6" s="2"/>
      <c r="S6" s="2"/>
      <c r="T6" s="2"/>
      <c r="U6" s="2"/>
      <c r="V6" s="2"/>
      <c r="W6" s="2"/>
    </row>
    <row r="7" spans="1:33" x14ac:dyDescent="0.3">
      <c r="A7" s="4"/>
      <c r="B7" s="4"/>
      <c r="D7" s="4"/>
      <c r="E7" s="4"/>
      <c r="G7" s="195" t="s">
        <v>318</v>
      </c>
      <c r="H7" s="196"/>
    </row>
    <row r="8" spans="1:33" ht="43.5" customHeight="1" x14ac:dyDescent="0.3">
      <c r="A8" s="4"/>
      <c r="B8" s="4"/>
      <c r="C8" s="4"/>
      <c r="D8" s="4"/>
      <c r="E8" s="4"/>
      <c r="G8" s="195" t="s">
        <v>319</v>
      </c>
      <c r="H8" s="195" t="s">
        <v>66</v>
      </c>
    </row>
    <row r="9" spans="1:33" x14ac:dyDescent="0.3">
      <c r="A9" s="4"/>
      <c r="B9" s="4"/>
      <c r="C9" s="4"/>
      <c r="G9" s="197">
        <v>100</v>
      </c>
      <c r="H9" s="197">
        <v>1</v>
      </c>
    </row>
    <row r="11" spans="1:33" ht="63" x14ac:dyDescent="0.3">
      <c r="A11" s="6" t="s">
        <v>1</v>
      </c>
      <c r="B11" s="6" t="s">
        <v>2</v>
      </c>
      <c r="C11" s="7" t="s">
        <v>3</v>
      </c>
      <c r="G11" s="195" t="s">
        <v>325</v>
      </c>
      <c r="H11" s="196"/>
      <c r="I11" s="196"/>
      <c r="J11" s="196"/>
      <c r="K11" s="196"/>
      <c r="L11" s="196"/>
    </row>
    <row r="12" spans="1:33" ht="15.6" x14ac:dyDescent="0.3">
      <c r="A12" s="6"/>
      <c r="B12" s="6"/>
      <c r="C12" s="187"/>
      <c r="D12" s="189"/>
      <c r="E12" s="189"/>
      <c r="F12" s="189"/>
      <c r="G12" s="195" t="s">
        <v>326</v>
      </c>
      <c r="H12" s="195" t="s">
        <v>327</v>
      </c>
      <c r="I12" s="195" t="s">
        <v>328</v>
      </c>
      <c r="J12" s="195" t="s">
        <v>66</v>
      </c>
      <c r="K12" s="195" t="s">
        <v>329</v>
      </c>
      <c r="L12" s="195" t="s">
        <v>330</v>
      </c>
      <c r="M12" s="198"/>
      <c r="P12" s="198"/>
    </row>
    <row r="13" spans="1:33" ht="15.6" x14ac:dyDescent="0.3">
      <c r="A13" s="8" t="s">
        <v>4</v>
      </c>
      <c r="B13" s="6" t="s">
        <v>5</v>
      </c>
      <c r="C13" s="188">
        <v>91.73</v>
      </c>
      <c r="D13" s="189"/>
      <c r="E13" s="189"/>
      <c r="F13" s="189"/>
      <c r="G13" s="197">
        <v>530</v>
      </c>
      <c r="H13" s="197">
        <v>16</v>
      </c>
      <c r="I13" s="197">
        <v>25</v>
      </c>
      <c r="J13" s="197">
        <v>1</v>
      </c>
      <c r="K13" s="197">
        <v>5</v>
      </c>
      <c r="L13" s="197" t="s">
        <v>332</v>
      </c>
      <c r="M13" s="198"/>
      <c r="P13" s="198"/>
    </row>
    <row r="14" spans="1:33" ht="15.6" x14ac:dyDescent="0.3">
      <c r="A14" s="8" t="s">
        <v>6</v>
      </c>
      <c r="B14" s="6" t="s">
        <v>7</v>
      </c>
      <c r="C14" s="188">
        <v>4.28</v>
      </c>
      <c r="D14" s="189"/>
      <c r="E14" s="189"/>
      <c r="F14" s="189"/>
    </row>
    <row r="15" spans="1:33" ht="15.6" x14ac:dyDescent="0.3">
      <c r="A15" s="8" t="s">
        <v>8</v>
      </c>
      <c r="B15" s="6" t="s">
        <v>9</v>
      </c>
      <c r="C15" s="188">
        <v>1.87</v>
      </c>
      <c r="D15" s="189"/>
      <c r="E15" s="189"/>
      <c r="F15" s="189"/>
      <c r="G15" s="195" t="s">
        <v>331</v>
      </c>
      <c r="H15" s="196"/>
      <c r="I15" s="196"/>
      <c r="J15" s="196"/>
      <c r="K15" s="196"/>
      <c r="L15" s="196"/>
      <c r="M15" s="198"/>
      <c r="P15" s="198"/>
    </row>
    <row r="16" spans="1:33" ht="31.2" x14ac:dyDescent="0.3">
      <c r="A16" s="8" t="s">
        <v>10</v>
      </c>
      <c r="B16" s="6" t="s">
        <v>11</v>
      </c>
      <c r="C16" s="188">
        <v>0.4803</v>
      </c>
      <c r="D16" s="189"/>
      <c r="E16" s="189"/>
      <c r="F16" s="189"/>
      <c r="G16" s="195" t="s">
        <v>326</v>
      </c>
      <c r="H16" s="195" t="s">
        <v>327</v>
      </c>
      <c r="I16" s="195" t="s">
        <v>328</v>
      </c>
      <c r="J16" s="195" t="s">
        <v>66</v>
      </c>
      <c r="K16" s="195" t="s">
        <v>329</v>
      </c>
      <c r="L16" s="195" t="s">
        <v>330</v>
      </c>
      <c r="M16" s="198"/>
      <c r="P16" s="198"/>
    </row>
    <row r="17" spans="1:16" ht="31.2" x14ac:dyDescent="0.3">
      <c r="A17" s="8" t="s">
        <v>12</v>
      </c>
      <c r="B17" s="6" t="s">
        <v>13</v>
      </c>
      <c r="C17" s="188">
        <v>0.37323000000000001</v>
      </c>
      <c r="D17" s="189"/>
      <c r="E17" s="189"/>
      <c r="F17" s="189"/>
      <c r="G17" s="197">
        <v>412</v>
      </c>
      <c r="H17" s="197">
        <v>16</v>
      </c>
      <c r="I17" s="197">
        <v>25</v>
      </c>
      <c r="J17" s="197">
        <v>1</v>
      </c>
      <c r="K17" s="197">
        <v>5</v>
      </c>
      <c r="L17" s="197" t="s">
        <v>99</v>
      </c>
    </row>
    <row r="18" spans="1:16" ht="31.2" x14ac:dyDescent="0.3">
      <c r="A18" s="8" t="s">
        <v>14</v>
      </c>
      <c r="B18" s="6" t="s">
        <v>15</v>
      </c>
      <c r="C18" s="188">
        <v>7.8049999999999994E-2</v>
      </c>
      <c r="D18" s="189"/>
      <c r="E18" s="189"/>
      <c r="F18" s="189"/>
      <c r="M18" s="198"/>
      <c r="P18" s="198"/>
    </row>
    <row r="19" spans="1:16" ht="31.2" x14ac:dyDescent="0.3">
      <c r="A19" s="8" t="s">
        <v>16</v>
      </c>
      <c r="B19" s="6" t="s">
        <v>17</v>
      </c>
      <c r="C19" s="188">
        <v>1.2508E-2</v>
      </c>
      <c r="D19" s="189"/>
      <c r="E19" s="189"/>
      <c r="F19" s="189"/>
      <c r="G19" s="195" t="s">
        <v>320</v>
      </c>
      <c r="H19" s="196"/>
      <c r="I19" s="196"/>
      <c r="M19" s="198"/>
    </row>
    <row r="20" spans="1:16" ht="31.2" x14ac:dyDescent="0.3">
      <c r="A20" s="8" t="s">
        <v>18</v>
      </c>
      <c r="B20" s="6" t="s">
        <v>19</v>
      </c>
      <c r="C20" s="188">
        <v>7.3050000000000004E-2</v>
      </c>
      <c r="D20" s="189"/>
      <c r="E20" s="189"/>
      <c r="F20" s="189"/>
      <c r="G20" s="195" t="s">
        <v>321</v>
      </c>
      <c r="H20" s="195" t="s">
        <v>322</v>
      </c>
      <c r="I20" s="195" t="s">
        <v>323</v>
      </c>
      <c r="M20" s="198"/>
    </row>
    <row r="21" spans="1:16" ht="31.2" x14ac:dyDescent="0.3">
      <c r="A21" s="8" t="s">
        <v>20</v>
      </c>
      <c r="B21" s="6" t="s">
        <v>21</v>
      </c>
      <c r="C21" s="188">
        <v>0</v>
      </c>
      <c r="D21" s="189"/>
      <c r="E21" s="189"/>
      <c r="F21" s="189"/>
      <c r="G21" s="197">
        <v>1500</v>
      </c>
      <c r="H21" s="197">
        <v>0</v>
      </c>
      <c r="I21" s="197">
        <v>5</v>
      </c>
      <c r="M21" s="198"/>
    </row>
    <row r="22" spans="1:16" ht="31.2" x14ac:dyDescent="0.3">
      <c r="A22" s="8" t="s">
        <v>22</v>
      </c>
      <c r="B22" s="6" t="s">
        <v>23</v>
      </c>
      <c r="C22" s="188">
        <v>0</v>
      </c>
      <c r="D22" s="189"/>
      <c r="E22" s="189"/>
      <c r="F22" s="189"/>
    </row>
    <row r="23" spans="1:16" ht="15.6" x14ac:dyDescent="0.3">
      <c r="A23" s="8" t="s">
        <v>24</v>
      </c>
      <c r="B23" s="6" t="s">
        <v>25</v>
      </c>
      <c r="C23" s="9">
        <v>0</v>
      </c>
    </row>
    <row r="24" spans="1:16" ht="15.6" x14ac:dyDescent="0.3">
      <c r="A24" s="8" t="s">
        <v>26</v>
      </c>
      <c r="B24" s="6" t="s">
        <v>27</v>
      </c>
      <c r="C24" s="9">
        <v>0</v>
      </c>
    </row>
    <row r="25" spans="1:16" ht="15.6" x14ac:dyDescent="0.3">
      <c r="A25" s="8" t="s">
        <v>28</v>
      </c>
      <c r="B25" s="6" t="s">
        <v>29</v>
      </c>
      <c r="C25" s="9">
        <v>0</v>
      </c>
    </row>
    <row r="26" spans="1:16" ht="15.6" x14ac:dyDescent="0.3">
      <c r="A26" s="8" t="s">
        <v>30</v>
      </c>
      <c r="B26" s="6" t="s">
        <v>31</v>
      </c>
      <c r="C26" s="9">
        <v>0</v>
      </c>
    </row>
    <row r="27" spans="1:16" ht="15.6" x14ac:dyDescent="0.3">
      <c r="A27" s="8" t="s">
        <v>32</v>
      </c>
      <c r="B27" s="6" t="s">
        <v>33</v>
      </c>
      <c r="C27" s="9">
        <v>0</v>
      </c>
    </row>
    <row r="28" spans="1:16" ht="15.6" x14ac:dyDescent="0.3">
      <c r="A28" s="8" t="s">
        <v>34</v>
      </c>
      <c r="B28" s="6" t="s">
        <v>35</v>
      </c>
      <c r="C28" s="9">
        <v>1.0000000000000001E-5</v>
      </c>
    </row>
    <row r="29" spans="1:16" ht="15.6" x14ac:dyDescent="0.3">
      <c r="A29" s="8" t="s">
        <v>36</v>
      </c>
      <c r="B29" s="6" t="s">
        <v>37</v>
      </c>
      <c r="C29" s="9">
        <v>0</v>
      </c>
    </row>
    <row r="30" spans="1:16" ht="15.6" x14ac:dyDescent="0.3">
      <c r="A30" s="8" t="s">
        <v>38</v>
      </c>
      <c r="B30" s="6" t="s">
        <v>39</v>
      </c>
      <c r="C30" s="9">
        <v>0</v>
      </c>
    </row>
    <row r="31" spans="1:16" ht="15.6" x14ac:dyDescent="0.3">
      <c r="A31" s="8" t="s">
        <v>40</v>
      </c>
      <c r="B31" s="6" t="s">
        <v>41</v>
      </c>
      <c r="C31" s="9">
        <v>0</v>
      </c>
    </row>
    <row r="32" spans="1:16" ht="15.6" x14ac:dyDescent="0.3">
      <c r="A32" s="8" t="s">
        <v>42</v>
      </c>
      <c r="B32" s="6" t="s">
        <v>43</v>
      </c>
      <c r="C32" s="9">
        <v>0</v>
      </c>
    </row>
    <row r="33" spans="1:3" ht="31.2" x14ac:dyDescent="0.3">
      <c r="A33" s="8" t="s">
        <v>44</v>
      </c>
      <c r="B33" s="6" t="s">
        <v>45</v>
      </c>
      <c r="C33" s="9">
        <v>0</v>
      </c>
    </row>
    <row r="34" spans="1:3" ht="15.6" x14ac:dyDescent="0.3">
      <c r="A34" s="8" t="s">
        <v>46</v>
      </c>
      <c r="B34" s="6" t="s">
        <v>47</v>
      </c>
      <c r="C34" s="9">
        <v>0</v>
      </c>
    </row>
    <row r="35" spans="1:3" ht="15.6" x14ac:dyDescent="0.3">
      <c r="A35" s="8" t="s">
        <v>48</v>
      </c>
      <c r="B35" s="6" t="s">
        <v>49</v>
      </c>
      <c r="C35" s="9">
        <v>1.0000000000000001E-5</v>
      </c>
    </row>
    <row r="36" spans="1:3" ht="15.6" x14ac:dyDescent="0.3">
      <c r="A36" s="8" t="s">
        <v>50</v>
      </c>
      <c r="B36" s="6" t="s">
        <v>51</v>
      </c>
      <c r="C36" s="9">
        <v>0</v>
      </c>
    </row>
    <row r="37" spans="1:3" ht="15.6" x14ac:dyDescent="0.3">
      <c r="A37" s="8" t="s">
        <v>52</v>
      </c>
      <c r="B37" s="6" t="s">
        <v>53</v>
      </c>
      <c r="C37" s="9">
        <v>0</v>
      </c>
    </row>
    <row r="38" spans="1:3" ht="31.2" x14ac:dyDescent="0.3">
      <c r="A38" s="8" t="s">
        <v>54</v>
      </c>
      <c r="B38" s="6" t="s">
        <v>55</v>
      </c>
      <c r="C38" s="9">
        <v>0</v>
      </c>
    </row>
    <row r="39" spans="1:3" ht="15.6" x14ac:dyDescent="0.3">
      <c r="A39" s="8" t="s">
        <v>56</v>
      </c>
      <c r="B39" s="6" t="s">
        <v>57</v>
      </c>
      <c r="C39" s="9">
        <v>0.193909</v>
      </c>
    </row>
    <row r="40" spans="1:3" ht="15.6" x14ac:dyDescent="0.3">
      <c r="A40" s="8" t="s">
        <v>58</v>
      </c>
      <c r="B40" s="6"/>
      <c r="C40" s="9">
        <v>0</v>
      </c>
    </row>
    <row r="41" spans="1:3" ht="15.6" x14ac:dyDescent="0.3">
      <c r="A41" s="8" t="s">
        <v>59</v>
      </c>
      <c r="B41" s="6" t="s">
        <v>60</v>
      </c>
      <c r="C41" s="9">
        <v>1.0000000000000001E-5</v>
      </c>
    </row>
    <row r="42" spans="1:3" ht="31.2" x14ac:dyDescent="0.3">
      <c r="A42" s="8" t="s">
        <v>61</v>
      </c>
      <c r="B42" s="6" t="s">
        <v>62</v>
      </c>
      <c r="C42" s="9">
        <v>0.84052000000000004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Tables">
                <anchor moveWithCells="1">
                  <from>
                    <xdr:col>3</xdr:col>
                    <xdr:colOff>137160</xdr:colOff>
                    <xdr:row>4</xdr:row>
                    <xdr:rowOff>99060</xdr:rowOff>
                  </from>
                  <to>
                    <xdr:col>5</xdr:col>
                    <xdr:colOff>601980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ulate.TransferValuesToNewTable">
                <anchor moveWithCells="1" sizeWithCells="1">
                  <from>
                    <xdr:col>3</xdr:col>
                    <xdr:colOff>144780</xdr:colOff>
                    <xdr:row>10</xdr:row>
                    <xdr:rowOff>121920</xdr:rowOff>
                  </from>
                  <to>
                    <xdr:col>5</xdr:col>
                    <xdr:colOff>601980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NewTables">
                <anchor moveWithCells="1" sizeWithCells="1">
                  <from>
                    <xdr:col>3</xdr:col>
                    <xdr:colOff>137160</xdr:colOff>
                    <xdr:row>7</xdr:row>
                    <xdr:rowOff>312420</xdr:rowOff>
                  </from>
                  <to>
                    <xdr:col>5</xdr:col>
                    <xdr:colOff>601980</xdr:colOff>
                    <xdr:row>10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.DeleteSelectedCells">
                <anchor moveWithCells="1" sizeWithCells="1">
                  <from>
                    <xdr:col>3</xdr:col>
                    <xdr:colOff>121920</xdr:colOff>
                    <xdr:row>11</xdr:row>
                    <xdr:rowOff>60960</xdr:rowOff>
                  </from>
                  <to>
                    <xdr:col>5</xdr:col>
                    <xdr:colOff>579120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4:BY186"/>
  <sheetViews>
    <sheetView zoomScale="55" zoomScaleNormal="55" workbookViewId="0">
      <selection activeCell="AD24" sqref="AD24"/>
    </sheetView>
  </sheetViews>
  <sheetFormatPr defaultRowHeight="14.4" x14ac:dyDescent="0.3"/>
  <cols>
    <col min="6" max="6" width="11" bestFit="1" customWidth="1"/>
    <col min="11" max="11" width="10.5546875" bestFit="1" customWidth="1"/>
    <col min="16" max="16" width="9.44140625" bestFit="1" customWidth="1"/>
    <col min="17" max="17" width="8.44140625" bestFit="1" customWidth="1"/>
    <col min="20" max="21" width="9.44140625" bestFit="1" customWidth="1"/>
    <col min="24" max="25" width="9.44140625" bestFit="1" customWidth="1"/>
    <col min="28" max="29" width="9.44140625" bestFit="1" customWidth="1"/>
    <col min="32" max="33" width="9.44140625" bestFit="1" customWidth="1"/>
    <col min="36" max="37" width="10.5546875" bestFit="1" customWidth="1"/>
    <col min="40" max="41" width="10.5546875" bestFit="1" customWidth="1"/>
    <col min="45" max="45" width="8.44140625" bestFit="1" customWidth="1"/>
    <col min="48" max="49" width="5.33203125" bestFit="1" customWidth="1"/>
    <col min="52" max="53" width="5.33203125" bestFit="1" customWidth="1"/>
    <col min="56" max="57" width="5.33203125" bestFit="1" customWidth="1"/>
    <col min="60" max="61" width="5.33203125" bestFit="1" customWidth="1"/>
    <col min="64" max="65" width="5.33203125" bestFit="1" customWidth="1"/>
    <col min="68" max="69" width="5.33203125" bestFit="1" customWidth="1"/>
    <col min="72" max="73" width="5.33203125" bestFit="1" customWidth="1"/>
    <col min="76" max="77" width="5.33203125" bestFit="1" customWidth="1"/>
  </cols>
  <sheetData>
    <row r="4" spans="1:77" ht="20.399999999999999" x14ac:dyDescent="0.35">
      <c r="A4" s="221" t="s">
        <v>67</v>
      </c>
      <c r="B4" s="222"/>
      <c r="C4" s="222"/>
      <c r="D4" s="222"/>
      <c r="E4" s="222"/>
      <c r="F4" s="223"/>
    </row>
    <row r="5" spans="1:77" ht="15" customHeight="1" x14ac:dyDescent="0.3">
      <c r="A5" s="227" t="s">
        <v>81</v>
      </c>
      <c r="B5" s="228"/>
      <c r="C5" s="228"/>
      <c r="D5" s="228"/>
      <c r="E5" s="229"/>
      <c r="F5" s="191">
        <f>ROUNDDOWN(F19*(F15*($F$11+0.101325)/((($F$12+273.15)/293.15*$F$14)*0.101325)),0)</f>
        <v>144758</v>
      </c>
    </row>
    <row r="6" spans="1:77" x14ac:dyDescent="0.3">
      <c r="A6" s="224" t="s">
        <v>68</v>
      </c>
      <c r="B6" s="225"/>
      <c r="C6" s="225"/>
      <c r="D6" s="225"/>
      <c r="E6" s="226"/>
      <c r="F6" s="11">
        <v>412</v>
      </c>
    </row>
    <row r="7" spans="1:77" x14ac:dyDescent="0.3">
      <c r="A7" s="224" t="s">
        <v>69</v>
      </c>
      <c r="B7" s="225"/>
      <c r="C7" s="225"/>
      <c r="D7" s="225"/>
      <c r="E7" s="226"/>
      <c r="F7" s="11">
        <v>16</v>
      </c>
    </row>
    <row r="8" spans="1:77" x14ac:dyDescent="0.3">
      <c r="A8" s="224" t="s">
        <v>70</v>
      </c>
      <c r="B8" s="225"/>
      <c r="C8" s="225"/>
      <c r="D8" s="225"/>
      <c r="E8" s="226"/>
      <c r="F8" s="10">
        <f>(F6)-2*(F7)</f>
        <v>380</v>
      </c>
    </row>
    <row r="9" spans="1:77" ht="16.2" x14ac:dyDescent="0.3">
      <c r="A9" s="224" t="s">
        <v>71</v>
      </c>
      <c r="B9" s="225"/>
      <c r="C9" s="225"/>
      <c r="D9" s="225"/>
      <c r="E9" s="226"/>
      <c r="F9" s="10">
        <f>ROUND(0.785*((F6/1000)-2*(F7/1000))^2,4)</f>
        <v>0.1134</v>
      </c>
    </row>
    <row r="10" spans="1:77" ht="15.75" customHeight="1" thickBot="1" x14ac:dyDescent="0.4">
      <c r="A10" s="224" t="s">
        <v>72</v>
      </c>
      <c r="B10" s="225"/>
      <c r="C10" s="225"/>
      <c r="D10" s="225"/>
      <c r="E10" s="226"/>
      <c r="F10" s="10">
        <f>F11*10</f>
        <v>12</v>
      </c>
    </row>
    <row r="11" spans="1:77" ht="18.600000000000001" thickTop="1" x14ac:dyDescent="0.35">
      <c r="A11" s="224" t="s">
        <v>73</v>
      </c>
      <c r="B11" s="225"/>
      <c r="C11" s="225"/>
      <c r="D11" s="225"/>
      <c r="E11" s="226"/>
      <c r="F11" s="12">
        <v>1.2</v>
      </c>
      <c r="K11" s="207" t="s">
        <v>318</v>
      </c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205"/>
      <c r="AG11" s="205"/>
      <c r="AH11" s="205"/>
      <c r="AI11" s="205"/>
      <c r="AJ11" s="205"/>
      <c r="AK11" s="205"/>
      <c r="AL11" s="205"/>
      <c r="AM11" s="205"/>
      <c r="AN11" s="205"/>
      <c r="AO11" s="205"/>
      <c r="AP11" s="205"/>
      <c r="AQ11" s="211"/>
      <c r="AT11" s="204">
        <v>1.2</v>
      </c>
      <c r="AU11" s="204">
        <v>1.4</v>
      </c>
      <c r="AV11" s="204">
        <v>1.6</v>
      </c>
      <c r="AW11" s="204">
        <v>1.8</v>
      </c>
      <c r="AX11" s="204">
        <v>2</v>
      </c>
      <c r="AY11" s="204">
        <v>2.2000000000000002</v>
      </c>
      <c r="AZ11" s="204">
        <v>2.4000000000000004</v>
      </c>
      <c r="BA11" s="204">
        <v>2.6</v>
      </c>
      <c r="BB11" s="204">
        <v>2.8</v>
      </c>
      <c r="BC11" s="204">
        <v>3</v>
      </c>
      <c r="BD11" s="204">
        <v>3.2</v>
      </c>
      <c r="BE11" s="204">
        <v>3.4000000000000004</v>
      </c>
      <c r="BF11" s="204">
        <v>3.6000000000000005</v>
      </c>
      <c r="BG11" s="204">
        <v>3.8</v>
      </c>
      <c r="BH11" s="204">
        <v>4</v>
      </c>
      <c r="BI11" s="204">
        <v>4.2</v>
      </c>
      <c r="BJ11" s="204">
        <v>4.4000000000000004</v>
      </c>
      <c r="BK11" s="204">
        <v>4.6000000000000005</v>
      </c>
      <c r="BL11" s="204">
        <v>4.8</v>
      </c>
      <c r="BM11" s="204">
        <v>5</v>
      </c>
      <c r="BN11" s="204">
        <v>5.2</v>
      </c>
      <c r="BO11" s="204">
        <v>5.4</v>
      </c>
      <c r="BP11" s="204">
        <v>5.6000000000000005</v>
      </c>
      <c r="BQ11" s="204">
        <v>5.8000000000000007</v>
      </c>
      <c r="BR11" s="204">
        <v>6.0000000000000009</v>
      </c>
      <c r="BS11" s="204">
        <v>6.2</v>
      </c>
      <c r="BT11" s="204">
        <v>6.4</v>
      </c>
      <c r="BU11" s="204">
        <v>6.6000000000000005</v>
      </c>
      <c r="BV11" s="204">
        <v>6.8000000000000007</v>
      </c>
      <c r="BW11" s="204">
        <v>7.0000000000000009</v>
      </c>
      <c r="BX11" s="204">
        <v>7.2</v>
      </c>
      <c r="BY11" s="204">
        <v>7.4</v>
      </c>
    </row>
    <row r="12" spans="1:77" ht="16.8" x14ac:dyDescent="0.35">
      <c r="A12" s="224" t="s">
        <v>74</v>
      </c>
      <c r="B12" s="225"/>
      <c r="C12" s="225"/>
      <c r="D12" s="225"/>
      <c r="E12" s="226"/>
      <c r="F12" s="192">
        <v>5</v>
      </c>
      <c r="K12" s="208" t="s">
        <v>333</v>
      </c>
      <c r="L12" s="204">
        <v>1.2</v>
      </c>
      <c r="M12" s="204">
        <v>1.4</v>
      </c>
      <c r="N12" s="204">
        <v>1.6</v>
      </c>
      <c r="O12" s="204">
        <v>1.8</v>
      </c>
      <c r="P12" s="204">
        <v>2</v>
      </c>
      <c r="Q12" s="204">
        <v>2.2000000000000002</v>
      </c>
      <c r="R12" s="204">
        <v>2.4000000000000004</v>
      </c>
      <c r="S12" s="204">
        <v>2.6</v>
      </c>
      <c r="T12" s="204">
        <v>2.8</v>
      </c>
      <c r="U12" s="204">
        <v>3</v>
      </c>
      <c r="V12" s="204">
        <v>3.2</v>
      </c>
      <c r="W12" s="204">
        <v>3.4000000000000004</v>
      </c>
      <c r="X12" s="204">
        <v>3.6000000000000005</v>
      </c>
      <c r="Y12" s="204">
        <v>3.8</v>
      </c>
      <c r="Z12" s="204">
        <v>4</v>
      </c>
      <c r="AA12" s="204">
        <v>4.2</v>
      </c>
      <c r="AB12" s="204">
        <v>4.4000000000000004</v>
      </c>
      <c r="AC12" s="204">
        <v>4.6000000000000005</v>
      </c>
      <c r="AD12" s="204">
        <v>4.8</v>
      </c>
      <c r="AE12" s="204">
        <v>5</v>
      </c>
      <c r="AF12" s="204">
        <v>5.2</v>
      </c>
      <c r="AG12" s="204">
        <v>5.4</v>
      </c>
      <c r="AH12" s="204">
        <v>5.6000000000000005</v>
      </c>
      <c r="AI12" s="204">
        <v>5.8000000000000007</v>
      </c>
      <c r="AJ12" s="204">
        <v>6.0000000000000009</v>
      </c>
      <c r="AK12" s="204">
        <v>6.2</v>
      </c>
      <c r="AL12" s="204">
        <v>6.4</v>
      </c>
      <c r="AM12" s="204">
        <v>6.6000000000000005</v>
      </c>
      <c r="AN12" s="204">
        <v>6.8000000000000007</v>
      </c>
      <c r="AO12" s="204">
        <v>7.0000000000000009</v>
      </c>
      <c r="AP12" s="204">
        <v>7.2</v>
      </c>
      <c r="AQ12" s="212">
        <v>7.4</v>
      </c>
      <c r="AS12" s="204" t="s">
        <v>334</v>
      </c>
      <c r="AT12" s="204">
        <v>11.2</v>
      </c>
      <c r="AU12" s="204">
        <v>12.4</v>
      </c>
      <c r="AV12" s="204">
        <v>13.7</v>
      </c>
      <c r="AW12" s="204">
        <v>14.9</v>
      </c>
      <c r="AX12" s="204">
        <v>16.100000000000001</v>
      </c>
      <c r="AY12" s="204">
        <v>17.3</v>
      </c>
      <c r="AZ12" s="204">
        <v>18.5</v>
      </c>
      <c r="BA12" s="204">
        <v>19.600000000000001</v>
      </c>
      <c r="BB12" s="204">
        <v>20.8</v>
      </c>
      <c r="BC12" s="204">
        <v>21.9</v>
      </c>
      <c r="BD12" s="204">
        <v>23.1</v>
      </c>
      <c r="BE12" s="204">
        <v>24.2</v>
      </c>
      <c r="BF12" s="204">
        <v>25.3</v>
      </c>
      <c r="BG12" s="204">
        <v>26.4</v>
      </c>
      <c r="BH12" s="204">
        <v>27.5</v>
      </c>
      <c r="BI12" s="204">
        <v>28.5</v>
      </c>
      <c r="BJ12" s="204">
        <v>29.5</v>
      </c>
      <c r="BK12" s="204">
        <v>30.6</v>
      </c>
      <c r="BL12" s="204">
        <v>31.6</v>
      </c>
      <c r="BM12" s="204">
        <v>32.5</v>
      </c>
      <c r="BN12" s="204">
        <v>33.5</v>
      </c>
      <c r="BO12" s="204">
        <v>34.5</v>
      </c>
      <c r="BP12" s="204">
        <v>35.299999999999997</v>
      </c>
      <c r="BQ12" s="204">
        <v>36.200000000000003</v>
      </c>
      <c r="BR12" s="204">
        <v>37.1</v>
      </c>
      <c r="BS12" s="204">
        <v>37.9</v>
      </c>
      <c r="BT12" s="204">
        <v>38.799999999999997</v>
      </c>
      <c r="BU12" s="204">
        <v>39.6</v>
      </c>
      <c r="BV12" s="204">
        <v>40.299999999999997</v>
      </c>
      <c r="BW12" s="204">
        <v>41.1</v>
      </c>
      <c r="BX12" s="204">
        <v>41.8</v>
      </c>
      <c r="BY12" s="204">
        <v>42.4</v>
      </c>
    </row>
    <row r="13" spans="1:77" ht="16.2" x14ac:dyDescent="0.3">
      <c r="A13" s="224" t="s">
        <v>75</v>
      </c>
      <c r="B13" s="225"/>
      <c r="C13" s="225"/>
      <c r="D13" s="225"/>
      <c r="E13" s="226"/>
      <c r="F13" s="193">
        <f>Свх!F9</f>
        <v>10.71</v>
      </c>
      <c r="K13" s="208" t="s">
        <v>81</v>
      </c>
      <c r="L13" s="217">
        <v>22605.23</v>
      </c>
      <c r="M13" s="217">
        <v>26033.26</v>
      </c>
      <c r="N13" s="217">
        <v>29441.88</v>
      </c>
      <c r="O13" s="204">
        <v>32840.94</v>
      </c>
      <c r="P13" s="204">
        <v>36226.01</v>
      </c>
      <c r="Q13" s="204">
        <v>39597.199999999997</v>
      </c>
      <c r="R13" s="204">
        <v>42954.66</v>
      </c>
      <c r="S13" s="204">
        <v>46306.42</v>
      </c>
      <c r="T13" s="204">
        <v>49637.31</v>
      </c>
      <c r="U13" s="204">
        <v>52963.81</v>
      </c>
      <c r="V13" s="204">
        <v>56268.61</v>
      </c>
      <c r="W13" s="204">
        <v>59570.29</v>
      </c>
      <c r="X13" s="204">
        <v>62859.98</v>
      </c>
      <c r="Y13" s="204">
        <v>66137.77</v>
      </c>
      <c r="Z13" s="204">
        <v>69403.759999999995</v>
      </c>
      <c r="AA13" s="204">
        <v>72670.100000000006</v>
      </c>
      <c r="AB13" s="204">
        <v>75925.820000000007</v>
      </c>
      <c r="AC13" s="204">
        <v>79157.97</v>
      </c>
      <c r="AD13" s="204">
        <v>82392.2</v>
      </c>
      <c r="AE13" s="204">
        <v>85630.07</v>
      </c>
      <c r="AF13" s="204">
        <v>88844.11</v>
      </c>
      <c r="AG13" s="204">
        <v>92047.91</v>
      </c>
      <c r="AH13" s="204">
        <v>95272.44</v>
      </c>
      <c r="AI13" s="204">
        <v>98472.84</v>
      </c>
      <c r="AJ13" s="204">
        <v>101664.15</v>
      </c>
      <c r="AK13" s="204">
        <v>104863.29</v>
      </c>
      <c r="AL13" s="204">
        <v>108037.05</v>
      </c>
      <c r="AM13" s="204">
        <v>111219.67</v>
      </c>
      <c r="AN13" s="204">
        <v>114412.59</v>
      </c>
      <c r="AO13" s="204">
        <v>117579.81</v>
      </c>
      <c r="AP13" s="204">
        <v>120758.34</v>
      </c>
      <c r="AQ13" s="212">
        <v>123949.6</v>
      </c>
      <c r="AS13" s="204" t="s">
        <v>336</v>
      </c>
      <c r="AT13" s="204">
        <v>10.6</v>
      </c>
      <c r="AU13" s="204">
        <v>11.8</v>
      </c>
      <c r="AV13" s="204">
        <v>13</v>
      </c>
      <c r="AW13" s="204">
        <v>14.3</v>
      </c>
      <c r="AX13" s="204">
        <v>15.5</v>
      </c>
      <c r="AY13" s="204">
        <v>16.7</v>
      </c>
      <c r="AZ13" s="204">
        <v>17.8</v>
      </c>
      <c r="BA13" s="204">
        <v>19</v>
      </c>
      <c r="BB13" s="204">
        <v>20.2</v>
      </c>
      <c r="BC13" s="204">
        <v>21.3</v>
      </c>
      <c r="BD13" s="204">
        <v>22.5</v>
      </c>
      <c r="BE13" s="204">
        <v>23.6</v>
      </c>
      <c r="BF13" s="204">
        <v>24.7</v>
      </c>
      <c r="BG13" s="204">
        <v>25.8</v>
      </c>
      <c r="BH13" s="204">
        <v>26.9</v>
      </c>
      <c r="BI13" s="204">
        <v>28</v>
      </c>
      <c r="BJ13" s="204">
        <v>28.9</v>
      </c>
      <c r="BK13" s="204">
        <v>30</v>
      </c>
      <c r="BL13" s="204">
        <v>31</v>
      </c>
      <c r="BM13" s="204">
        <v>31.9</v>
      </c>
      <c r="BN13" s="204">
        <v>32.9</v>
      </c>
      <c r="BO13" s="204">
        <v>33.9</v>
      </c>
      <c r="BP13" s="204">
        <v>34.700000000000003</v>
      </c>
      <c r="BQ13" s="204">
        <v>35.700000000000003</v>
      </c>
      <c r="BR13" s="204">
        <v>36.5</v>
      </c>
      <c r="BS13" s="204">
        <v>37.4</v>
      </c>
      <c r="BT13" s="204">
        <v>38.200000000000003</v>
      </c>
      <c r="BU13" s="204">
        <v>39</v>
      </c>
      <c r="BV13" s="204">
        <v>39.700000000000003</v>
      </c>
      <c r="BW13" s="204">
        <v>40.5</v>
      </c>
      <c r="BX13" s="204">
        <v>41.3</v>
      </c>
      <c r="BY13" s="204">
        <v>41.9</v>
      </c>
    </row>
    <row r="14" spans="1:77" x14ac:dyDescent="0.3">
      <c r="A14" s="224" t="s">
        <v>76</v>
      </c>
      <c r="B14" s="225"/>
      <c r="C14" s="225"/>
      <c r="D14" s="225"/>
      <c r="E14" s="226"/>
      <c r="F14" s="190">
        <f>Свх!F37</f>
        <v>0.95599999999999996</v>
      </c>
      <c r="K14" s="20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  <c r="AO14" s="189"/>
      <c r="AP14" s="189"/>
      <c r="AQ14" s="213"/>
      <c r="AS14" s="204" t="s">
        <v>337</v>
      </c>
      <c r="AT14" s="204">
        <v>10</v>
      </c>
      <c r="AU14" s="204">
        <v>11.2</v>
      </c>
      <c r="AV14" s="204">
        <v>12.4</v>
      </c>
      <c r="AW14" s="204">
        <v>13.6</v>
      </c>
      <c r="AX14" s="204">
        <v>14.8</v>
      </c>
      <c r="AY14" s="204">
        <v>16</v>
      </c>
      <c r="AZ14" s="204">
        <v>17.2</v>
      </c>
      <c r="BA14" s="204">
        <v>18.399999999999999</v>
      </c>
      <c r="BB14" s="204">
        <v>19.600000000000001</v>
      </c>
      <c r="BC14" s="204">
        <v>20.7</v>
      </c>
      <c r="BD14" s="204">
        <v>21.9</v>
      </c>
      <c r="BE14" s="204">
        <v>23</v>
      </c>
      <c r="BF14" s="204">
        <v>24.1</v>
      </c>
      <c r="BG14" s="204">
        <v>25.2</v>
      </c>
      <c r="BH14" s="204">
        <v>26.3</v>
      </c>
      <c r="BI14" s="204">
        <v>27.4</v>
      </c>
      <c r="BJ14" s="204">
        <v>28.4</v>
      </c>
      <c r="BK14" s="204">
        <v>29.4</v>
      </c>
      <c r="BL14" s="204">
        <v>30.4</v>
      </c>
      <c r="BM14" s="204">
        <v>31.4</v>
      </c>
      <c r="BN14" s="204">
        <v>32.4</v>
      </c>
      <c r="BO14" s="204">
        <v>33.299999999999997</v>
      </c>
      <c r="BP14" s="204">
        <v>34.200000000000003</v>
      </c>
      <c r="BQ14" s="204">
        <v>35.1</v>
      </c>
      <c r="BR14" s="204">
        <v>36</v>
      </c>
      <c r="BS14" s="204">
        <v>36.799999999999997</v>
      </c>
      <c r="BT14" s="204">
        <v>37.700000000000003</v>
      </c>
      <c r="BU14" s="204">
        <v>38.5</v>
      </c>
      <c r="BV14" s="204">
        <v>39.200000000000003</v>
      </c>
      <c r="BW14" s="204">
        <v>40</v>
      </c>
      <c r="BX14" s="204">
        <v>40.799999999999997</v>
      </c>
      <c r="BY14" s="204">
        <v>41.3</v>
      </c>
    </row>
    <row r="15" spans="1:77" ht="16.8" x14ac:dyDescent="0.35">
      <c r="A15" s="224" t="s">
        <v>77</v>
      </c>
      <c r="B15" s="225"/>
      <c r="C15" s="225"/>
      <c r="D15" s="225"/>
      <c r="E15" s="226"/>
      <c r="F15" s="190">
        <f>F16*3600</f>
        <v>10224</v>
      </c>
      <c r="K15" s="208" t="s">
        <v>325</v>
      </c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  <c r="Y15" s="189"/>
      <c r="Z15" s="189"/>
      <c r="AA15" s="189"/>
      <c r="AB15" s="189"/>
      <c r="AC15" s="189"/>
      <c r="AD15" s="189"/>
      <c r="AE15" s="189"/>
      <c r="AF15" s="189"/>
      <c r="AG15" s="189"/>
      <c r="AH15" s="189"/>
      <c r="AI15" s="189"/>
      <c r="AJ15" s="189"/>
      <c r="AK15" s="189"/>
      <c r="AL15" s="189"/>
      <c r="AM15" s="189"/>
      <c r="AN15" s="189"/>
      <c r="AO15" s="189"/>
      <c r="AP15" s="189"/>
      <c r="AQ15" s="213"/>
      <c r="AS15" s="204" t="s">
        <v>338</v>
      </c>
      <c r="AT15" s="204">
        <v>9.3000000000000007</v>
      </c>
      <c r="AU15" s="204">
        <v>10.6</v>
      </c>
      <c r="AV15" s="204">
        <v>11.8</v>
      </c>
      <c r="AW15" s="204">
        <v>13</v>
      </c>
      <c r="AX15" s="204">
        <v>14.2</v>
      </c>
      <c r="AY15" s="204">
        <v>15.4</v>
      </c>
      <c r="AZ15" s="204">
        <v>16.600000000000001</v>
      </c>
      <c r="BA15" s="204">
        <v>17.8</v>
      </c>
      <c r="BB15" s="204">
        <v>19</v>
      </c>
      <c r="BC15" s="204">
        <v>20.100000000000001</v>
      </c>
      <c r="BD15" s="204">
        <v>21.3</v>
      </c>
      <c r="BE15" s="204">
        <v>22.4</v>
      </c>
      <c r="BF15" s="204">
        <v>23.5</v>
      </c>
      <c r="BG15" s="204">
        <v>24.6</v>
      </c>
      <c r="BH15" s="204">
        <v>25.7</v>
      </c>
      <c r="BI15" s="204">
        <v>26.8</v>
      </c>
      <c r="BJ15" s="204">
        <v>27.8</v>
      </c>
      <c r="BK15" s="204">
        <v>28.8</v>
      </c>
      <c r="BL15" s="204">
        <v>29.8</v>
      </c>
      <c r="BM15" s="204">
        <v>30.8</v>
      </c>
      <c r="BN15" s="204">
        <v>31.8</v>
      </c>
      <c r="BO15" s="204">
        <v>32.799999999999997</v>
      </c>
      <c r="BP15" s="204">
        <v>33.6</v>
      </c>
      <c r="BQ15" s="204">
        <v>34.6</v>
      </c>
      <c r="BR15" s="204">
        <v>35.4</v>
      </c>
      <c r="BS15" s="204">
        <v>36.299999999999997</v>
      </c>
      <c r="BT15" s="204">
        <v>37.1</v>
      </c>
      <c r="BU15" s="204">
        <v>37.9</v>
      </c>
      <c r="BV15" s="204">
        <v>38.700000000000003</v>
      </c>
      <c r="BW15" s="204">
        <v>39.5</v>
      </c>
      <c r="BX15" s="204">
        <v>40.200000000000003</v>
      </c>
      <c r="BY15" s="204">
        <v>40.799999999999997</v>
      </c>
    </row>
    <row r="16" spans="1:77" ht="16.8" x14ac:dyDescent="0.35">
      <c r="A16" s="224" t="s">
        <v>78</v>
      </c>
      <c r="B16" s="225"/>
      <c r="C16" s="225"/>
      <c r="D16" s="225"/>
      <c r="E16" s="226"/>
      <c r="F16" s="193">
        <f>ROUND(F17*F9,2)</f>
        <v>2.84</v>
      </c>
      <c r="K16" s="208" t="s">
        <v>335</v>
      </c>
      <c r="L16" s="204">
        <v>1.2</v>
      </c>
      <c r="M16" s="204">
        <v>1.4</v>
      </c>
      <c r="N16" s="204">
        <v>1.6</v>
      </c>
      <c r="O16" s="204">
        <v>1.8</v>
      </c>
      <c r="P16" s="204">
        <v>2</v>
      </c>
      <c r="Q16" s="204">
        <v>2.2000000000000002</v>
      </c>
      <c r="R16" s="204">
        <v>2.4000000000000004</v>
      </c>
      <c r="S16" s="204">
        <v>2.6</v>
      </c>
      <c r="T16" s="204">
        <v>2.8</v>
      </c>
      <c r="U16" s="204">
        <v>3</v>
      </c>
      <c r="V16" s="204">
        <v>3.2</v>
      </c>
      <c r="W16" s="204">
        <v>3.4000000000000004</v>
      </c>
      <c r="X16" s="204">
        <v>3.6000000000000005</v>
      </c>
      <c r="Y16" s="204">
        <v>3.8</v>
      </c>
      <c r="Z16" s="204">
        <v>4</v>
      </c>
      <c r="AA16" s="204">
        <v>4.2</v>
      </c>
      <c r="AB16" s="204">
        <v>4.4000000000000004</v>
      </c>
      <c r="AC16" s="204">
        <v>4.6000000000000005</v>
      </c>
      <c r="AD16" s="204">
        <v>4.8</v>
      </c>
      <c r="AE16" s="204">
        <v>5</v>
      </c>
      <c r="AF16" s="204">
        <v>5.2</v>
      </c>
      <c r="AG16" s="204">
        <v>5.4</v>
      </c>
      <c r="AH16" s="204">
        <v>5.6000000000000005</v>
      </c>
      <c r="AI16" s="204">
        <v>5.8000000000000007</v>
      </c>
      <c r="AJ16" s="204">
        <v>6.0000000000000009</v>
      </c>
      <c r="AK16" s="204">
        <v>6.2</v>
      </c>
      <c r="AL16" s="204">
        <v>6.4</v>
      </c>
      <c r="AM16" s="204">
        <v>6.6000000000000005</v>
      </c>
      <c r="AN16" s="204">
        <v>6.8000000000000007</v>
      </c>
      <c r="AO16" s="204">
        <v>7.0000000000000009</v>
      </c>
      <c r="AP16" s="204">
        <v>7.2</v>
      </c>
      <c r="AQ16" s="212">
        <v>7.4</v>
      </c>
      <c r="AS16" s="204" t="s">
        <v>339</v>
      </c>
      <c r="AT16" s="204">
        <v>8.6999999999999993</v>
      </c>
      <c r="AU16" s="204">
        <v>10</v>
      </c>
      <c r="AV16" s="204">
        <v>11.2</v>
      </c>
      <c r="AW16" s="204">
        <v>12.4</v>
      </c>
      <c r="AX16" s="204">
        <v>13.6</v>
      </c>
      <c r="AY16" s="204">
        <v>14.8</v>
      </c>
      <c r="AZ16" s="204">
        <v>16</v>
      </c>
      <c r="BA16" s="204">
        <v>17.2</v>
      </c>
      <c r="BB16" s="204">
        <v>18.399999999999999</v>
      </c>
      <c r="BC16" s="204">
        <v>19.5</v>
      </c>
      <c r="BD16" s="204">
        <v>20.7</v>
      </c>
      <c r="BE16" s="204">
        <v>21.8</v>
      </c>
      <c r="BF16" s="204">
        <v>22.9</v>
      </c>
      <c r="BG16" s="204">
        <v>24</v>
      </c>
      <c r="BH16" s="204">
        <v>25.1</v>
      </c>
      <c r="BI16" s="204">
        <v>26.2</v>
      </c>
      <c r="BJ16" s="204">
        <v>27.2</v>
      </c>
      <c r="BK16" s="204">
        <v>28.2</v>
      </c>
      <c r="BL16" s="204">
        <v>29.3</v>
      </c>
      <c r="BM16" s="204">
        <v>30.2</v>
      </c>
      <c r="BN16" s="204">
        <v>31.2</v>
      </c>
      <c r="BO16" s="204">
        <v>32.200000000000003</v>
      </c>
      <c r="BP16" s="204">
        <v>33.1</v>
      </c>
      <c r="BQ16" s="204">
        <v>34</v>
      </c>
      <c r="BR16" s="204">
        <v>34.9</v>
      </c>
      <c r="BS16" s="204">
        <v>35.700000000000003</v>
      </c>
      <c r="BT16" s="204">
        <v>36.6</v>
      </c>
      <c r="BU16" s="204">
        <v>37.4</v>
      </c>
      <c r="BV16" s="204">
        <v>38.1</v>
      </c>
      <c r="BW16" s="204">
        <v>38.9</v>
      </c>
      <c r="BX16" s="204">
        <v>39.700000000000003</v>
      </c>
      <c r="BY16" s="204">
        <v>40.299999999999997</v>
      </c>
    </row>
    <row r="17" spans="1:77" ht="15.6" x14ac:dyDescent="0.35">
      <c r="A17" s="224" t="s">
        <v>79</v>
      </c>
      <c r="B17" s="225"/>
      <c r="C17" s="225"/>
      <c r="D17" s="225"/>
      <c r="E17" s="226"/>
      <c r="F17" s="192">
        <v>25</v>
      </c>
      <c r="K17" s="208" t="s">
        <v>81</v>
      </c>
      <c r="L17" s="204">
        <v>248229</v>
      </c>
      <c r="M17" s="204">
        <v>288796</v>
      </c>
      <c r="N17" s="204">
        <v>329004</v>
      </c>
      <c r="O17" s="204">
        <v>370034</v>
      </c>
      <c r="P17" s="204">
        <v>412036</v>
      </c>
      <c r="Q17" s="204">
        <v>454183</v>
      </c>
      <c r="R17" s="204">
        <v>496881</v>
      </c>
      <c r="S17" s="204">
        <v>540734</v>
      </c>
      <c r="T17" s="204">
        <v>583974</v>
      </c>
      <c r="U17" s="204">
        <v>627694</v>
      </c>
      <c r="V17" s="204">
        <v>673405</v>
      </c>
      <c r="W17" s="204">
        <v>718218</v>
      </c>
      <c r="X17" s="204">
        <v>763537</v>
      </c>
      <c r="Y17" s="204">
        <v>811219</v>
      </c>
      <c r="Z17" s="204">
        <v>857695</v>
      </c>
      <c r="AA17" s="204">
        <v>904708</v>
      </c>
      <c r="AB17" s="204">
        <v>953373</v>
      </c>
      <c r="AC17" s="204">
        <v>1000380</v>
      </c>
      <c r="AD17" s="204">
        <v>1049058</v>
      </c>
      <c r="AE17" s="204">
        <v>1099609</v>
      </c>
      <c r="AF17" s="204">
        <v>1148148</v>
      </c>
      <c r="AG17" s="204">
        <v>1198581</v>
      </c>
      <c r="AH17" s="204">
        <v>1249620</v>
      </c>
      <c r="AI17" s="204">
        <v>1299705</v>
      </c>
      <c r="AJ17" s="204">
        <v>1351916</v>
      </c>
      <c r="AK17" s="204">
        <v>1404766</v>
      </c>
      <c r="AL17" s="204">
        <v>1456475</v>
      </c>
      <c r="AM17" s="204">
        <v>1508694</v>
      </c>
      <c r="AN17" s="204">
        <v>1563371</v>
      </c>
      <c r="AO17" s="204">
        <v>1614695</v>
      </c>
      <c r="AP17" s="204">
        <v>1668493</v>
      </c>
      <c r="AQ17" s="212">
        <v>1725005</v>
      </c>
      <c r="AS17" s="204" t="s">
        <v>340</v>
      </c>
      <c r="AT17" s="204">
        <v>8.1</v>
      </c>
      <c r="AU17" s="204">
        <v>9.3000000000000007</v>
      </c>
      <c r="AV17" s="204">
        <v>10.6</v>
      </c>
      <c r="AW17" s="204">
        <v>11.8</v>
      </c>
      <c r="AX17" s="204">
        <v>13</v>
      </c>
      <c r="AY17" s="204">
        <v>14.2</v>
      </c>
      <c r="AZ17" s="204">
        <v>15.4</v>
      </c>
      <c r="BA17" s="204">
        <v>16.600000000000001</v>
      </c>
      <c r="BB17" s="204">
        <v>17.8</v>
      </c>
      <c r="BC17" s="204">
        <v>18.899999999999999</v>
      </c>
      <c r="BD17" s="204">
        <v>20.100000000000001</v>
      </c>
      <c r="BE17" s="204">
        <v>21.2</v>
      </c>
      <c r="BF17" s="204">
        <v>22.3</v>
      </c>
      <c r="BG17" s="204">
        <v>23.4</v>
      </c>
      <c r="BH17" s="204">
        <v>24.5</v>
      </c>
      <c r="BI17" s="204">
        <v>25.6</v>
      </c>
      <c r="BJ17" s="204">
        <v>26.6</v>
      </c>
      <c r="BK17" s="204">
        <v>27.7</v>
      </c>
      <c r="BL17" s="204">
        <v>28.7</v>
      </c>
      <c r="BM17" s="204">
        <v>29.6</v>
      </c>
      <c r="BN17" s="204">
        <v>30.6</v>
      </c>
      <c r="BO17" s="204">
        <v>31.6</v>
      </c>
      <c r="BP17" s="204">
        <v>32.5</v>
      </c>
      <c r="BQ17" s="204">
        <v>33.4</v>
      </c>
      <c r="BR17" s="204">
        <v>34.299999999999997</v>
      </c>
      <c r="BS17" s="204">
        <v>35.200000000000003</v>
      </c>
      <c r="BT17" s="204">
        <v>36</v>
      </c>
      <c r="BU17" s="204">
        <v>36.9</v>
      </c>
      <c r="BV17" s="204">
        <v>37.6</v>
      </c>
      <c r="BW17" s="204">
        <v>38.4</v>
      </c>
      <c r="BX17" s="204">
        <v>39.200000000000003</v>
      </c>
      <c r="BY17" s="204">
        <v>39.799999999999997</v>
      </c>
    </row>
    <row r="18" spans="1:77" x14ac:dyDescent="0.3">
      <c r="A18" s="224" t="s">
        <v>80</v>
      </c>
      <c r="B18" s="225"/>
      <c r="C18" s="225"/>
      <c r="D18" s="225"/>
      <c r="E18" s="226"/>
      <c r="F18" s="190">
        <v>25</v>
      </c>
      <c r="K18" s="20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  <c r="AO18" s="189"/>
      <c r="AP18" s="189"/>
      <c r="AQ18" s="213"/>
      <c r="AS18" s="204" t="s">
        <v>355</v>
      </c>
      <c r="AT18" s="204">
        <v>7.5</v>
      </c>
      <c r="AU18" s="204">
        <v>8.6999999999999993</v>
      </c>
      <c r="AV18" s="204">
        <v>9.9</v>
      </c>
      <c r="AW18" s="204">
        <v>11.2</v>
      </c>
      <c r="AX18" s="204">
        <v>12.4</v>
      </c>
      <c r="AY18" s="204">
        <v>13.6</v>
      </c>
      <c r="AZ18" s="204">
        <v>14.8</v>
      </c>
      <c r="BA18" s="204">
        <v>16</v>
      </c>
      <c r="BB18" s="204">
        <v>17.100000000000001</v>
      </c>
      <c r="BC18" s="204">
        <v>18.3</v>
      </c>
      <c r="BD18" s="204">
        <v>19.5</v>
      </c>
      <c r="BE18" s="204">
        <v>20.6</v>
      </c>
      <c r="BF18" s="204">
        <v>21.7</v>
      </c>
      <c r="BG18" s="204">
        <v>22.8</v>
      </c>
      <c r="BH18" s="204">
        <v>23.9</v>
      </c>
      <c r="BI18" s="204">
        <v>25</v>
      </c>
      <c r="BJ18" s="204">
        <v>26</v>
      </c>
      <c r="BK18" s="204">
        <v>27.1</v>
      </c>
      <c r="BL18" s="204">
        <v>28.1</v>
      </c>
      <c r="BM18" s="204">
        <v>29.1</v>
      </c>
      <c r="BN18" s="204">
        <v>30.1</v>
      </c>
      <c r="BO18" s="204">
        <v>31.1</v>
      </c>
      <c r="BP18" s="204">
        <v>31.9</v>
      </c>
      <c r="BQ18" s="204">
        <v>32.9</v>
      </c>
      <c r="BR18" s="204">
        <v>33.799999999999997</v>
      </c>
      <c r="BS18" s="204">
        <v>34.6</v>
      </c>
      <c r="BT18" s="204">
        <v>35.5</v>
      </c>
      <c r="BU18" s="204">
        <v>36.299999999999997</v>
      </c>
      <c r="BV18" s="204">
        <v>37.1</v>
      </c>
      <c r="BW18" s="204">
        <v>37.9</v>
      </c>
      <c r="BX18" s="204">
        <v>38.700000000000003</v>
      </c>
      <c r="BY18" s="204">
        <v>39.299999999999997</v>
      </c>
    </row>
    <row r="19" spans="1:77" x14ac:dyDescent="0.3">
      <c r="A19" s="224" t="s">
        <v>66</v>
      </c>
      <c r="B19" s="225"/>
      <c r="C19" s="225"/>
      <c r="D19" s="225"/>
      <c r="E19" s="226"/>
      <c r="F19" s="190">
        <v>1</v>
      </c>
      <c r="K19" s="208" t="s">
        <v>331</v>
      </c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189"/>
      <c r="AG19" s="189"/>
      <c r="AH19" s="189"/>
      <c r="AI19" s="189"/>
      <c r="AJ19" s="189"/>
      <c r="AK19" s="189"/>
      <c r="AL19" s="189"/>
      <c r="AM19" s="189"/>
      <c r="AN19" s="189"/>
      <c r="AO19" s="189"/>
      <c r="AP19" s="189"/>
      <c r="AQ19" s="213"/>
      <c r="AS19" s="204" t="s">
        <v>356</v>
      </c>
      <c r="AT19" s="204">
        <v>6.9</v>
      </c>
      <c r="AU19" s="204">
        <v>8.1</v>
      </c>
      <c r="AV19" s="204">
        <v>9.3000000000000007</v>
      </c>
      <c r="AW19" s="204">
        <v>10.6</v>
      </c>
      <c r="AX19" s="204">
        <v>11.8</v>
      </c>
      <c r="AY19" s="204">
        <v>13</v>
      </c>
      <c r="AZ19" s="204">
        <v>14.2</v>
      </c>
      <c r="BA19" s="204">
        <v>15.4</v>
      </c>
      <c r="BB19" s="204">
        <v>16.5</v>
      </c>
      <c r="BC19" s="204">
        <v>17.7</v>
      </c>
      <c r="BD19" s="204">
        <v>18.899999999999999</v>
      </c>
      <c r="BE19" s="204">
        <v>20</v>
      </c>
      <c r="BF19" s="204">
        <v>21.1</v>
      </c>
      <c r="BG19" s="204">
        <v>22.2</v>
      </c>
      <c r="BH19" s="204">
        <v>23.3</v>
      </c>
      <c r="BI19" s="204">
        <v>24.4</v>
      </c>
      <c r="BJ19" s="204">
        <v>25.4</v>
      </c>
      <c r="BK19" s="204">
        <v>26.5</v>
      </c>
      <c r="BL19" s="204">
        <v>27.5</v>
      </c>
      <c r="BM19" s="204">
        <v>28.5</v>
      </c>
      <c r="BN19" s="204">
        <v>29.5</v>
      </c>
      <c r="BO19" s="204">
        <v>30.5</v>
      </c>
      <c r="BP19" s="204">
        <v>31.4</v>
      </c>
      <c r="BQ19" s="204">
        <v>32.299999999999997</v>
      </c>
      <c r="BR19" s="204">
        <v>33.200000000000003</v>
      </c>
      <c r="BS19" s="204">
        <v>34.1</v>
      </c>
      <c r="BT19" s="204">
        <v>34.9</v>
      </c>
      <c r="BU19" s="204">
        <v>35.799999999999997</v>
      </c>
      <c r="BV19" s="204">
        <v>36.5</v>
      </c>
      <c r="BW19" s="204">
        <v>37.299999999999997</v>
      </c>
      <c r="BX19" s="204">
        <v>38.1</v>
      </c>
      <c r="BY19" s="204">
        <v>38.700000000000003</v>
      </c>
    </row>
    <row r="20" spans="1:77" ht="15" customHeight="1" x14ac:dyDescent="0.3">
      <c r="K20" s="208" t="s">
        <v>335</v>
      </c>
      <c r="L20" s="204">
        <v>0.2</v>
      </c>
      <c r="M20" s="204">
        <v>0.2</v>
      </c>
      <c r="N20" s="204">
        <v>0.2</v>
      </c>
      <c r="O20" s="204">
        <v>0.2</v>
      </c>
      <c r="P20" s="204">
        <v>0.2</v>
      </c>
      <c r="Q20" s="204">
        <v>0.2</v>
      </c>
      <c r="R20" s="204">
        <v>0.2</v>
      </c>
      <c r="S20" s="204">
        <v>0.2</v>
      </c>
      <c r="T20" s="204">
        <v>0.2</v>
      </c>
      <c r="U20" s="204">
        <v>0.2</v>
      </c>
      <c r="V20" s="204">
        <v>0.2</v>
      </c>
      <c r="W20" s="204">
        <v>0.2</v>
      </c>
      <c r="X20" s="204">
        <v>0.2</v>
      </c>
      <c r="Y20" s="204">
        <v>0.2</v>
      </c>
      <c r="Z20" s="204">
        <v>0.2</v>
      </c>
      <c r="AA20" s="204">
        <v>0.2</v>
      </c>
      <c r="AB20" s="204">
        <v>0.2</v>
      </c>
      <c r="AC20" s="204">
        <v>0.2</v>
      </c>
      <c r="AD20" s="204">
        <v>0.2</v>
      </c>
      <c r="AE20" s="204">
        <v>0.2</v>
      </c>
      <c r="AF20" s="204">
        <v>0.2</v>
      </c>
      <c r="AG20" s="204">
        <v>0.2</v>
      </c>
      <c r="AH20" s="204">
        <v>0.2</v>
      </c>
      <c r="AI20" s="204">
        <v>0.2</v>
      </c>
      <c r="AJ20" s="204">
        <v>0.2</v>
      </c>
      <c r="AK20" s="204">
        <v>0.2</v>
      </c>
      <c r="AL20" s="204">
        <v>0.2</v>
      </c>
      <c r="AM20" s="204">
        <v>0.2</v>
      </c>
      <c r="AN20" s="204">
        <v>0.2</v>
      </c>
      <c r="AO20" s="204">
        <v>0.2</v>
      </c>
      <c r="AP20" s="204">
        <v>0.2</v>
      </c>
      <c r="AQ20" s="212">
        <v>0.2</v>
      </c>
      <c r="AS20" s="204" t="s">
        <v>357</v>
      </c>
      <c r="AT20" s="204">
        <v>6.2</v>
      </c>
      <c r="AU20" s="204">
        <v>7.5</v>
      </c>
      <c r="AV20" s="204">
        <v>8.6999999999999993</v>
      </c>
      <c r="AW20" s="204">
        <v>9.9</v>
      </c>
      <c r="AX20" s="204">
        <v>11.1</v>
      </c>
      <c r="AY20" s="204">
        <v>12.4</v>
      </c>
      <c r="AZ20" s="204">
        <v>13.6</v>
      </c>
      <c r="BA20" s="204">
        <v>14.8</v>
      </c>
      <c r="BB20" s="204">
        <v>15.9</v>
      </c>
      <c r="BC20" s="204">
        <v>17.100000000000001</v>
      </c>
      <c r="BD20" s="204">
        <v>18.3</v>
      </c>
      <c r="BE20" s="204">
        <v>19.399999999999999</v>
      </c>
      <c r="BF20" s="204">
        <v>20.5</v>
      </c>
      <c r="BG20" s="204">
        <v>21.6</v>
      </c>
      <c r="BH20" s="204">
        <v>22.8</v>
      </c>
      <c r="BI20" s="204">
        <v>23.8</v>
      </c>
      <c r="BJ20" s="204">
        <v>24.9</v>
      </c>
      <c r="BK20" s="204">
        <v>25.9</v>
      </c>
      <c r="BL20" s="204">
        <v>26.9</v>
      </c>
      <c r="BM20" s="204">
        <v>27.9</v>
      </c>
      <c r="BN20" s="204">
        <v>28.9</v>
      </c>
      <c r="BO20" s="204">
        <v>29.9</v>
      </c>
      <c r="BP20" s="204">
        <v>30.8</v>
      </c>
      <c r="BQ20" s="204">
        <v>31.8</v>
      </c>
      <c r="BR20" s="204">
        <v>32.700000000000003</v>
      </c>
      <c r="BS20" s="204">
        <v>33.5</v>
      </c>
      <c r="BT20" s="204">
        <v>34.4</v>
      </c>
      <c r="BU20" s="204">
        <v>35.200000000000003</v>
      </c>
      <c r="BV20" s="204">
        <v>36</v>
      </c>
      <c r="BW20" s="204">
        <v>36.799999999999997</v>
      </c>
      <c r="BX20" s="204">
        <v>37.6</v>
      </c>
      <c r="BY20" s="204">
        <v>38.200000000000003</v>
      </c>
    </row>
    <row r="21" spans="1:77" x14ac:dyDescent="0.3">
      <c r="K21" s="208" t="s">
        <v>81</v>
      </c>
      <c r="L21" s="189">
        <v>32400</v>
      </c>
      <c r="M21" s="189">
        <v>32400</v>
      </c>
      <c r="N21" s="189">
        <v>32400</v>
      </c>
      <c r="O21" s="218">
        <v>32400</v>
      </c>
      <c r="P21" s="218">
        <v>32400</v>
      </c>
      <c r="Q21" s="218">
        <v>32400</v>
      </c>
      <c r="R21" s="218">
        <v>32400</v>
      </c>
      <c r="S21" s="218">
        <v>32400</v>
      </c>
      <c r="T21" s="218">
        <v>32400</v>
      </c>
      <c r="U21" s="218">
        <v>32400</v>
      </c>
      <c r="V21" s="218">
        <v>32400</v>
      </c>
      <c r="W21" s="218">
        <v>32400</v>
      </c>
      <c r="X21" s="218">
        <v>32400</v>
      </c>
      <c r="Y21" s="218">
        <v>32400</v>
      </c>
      <c r="Z21" s="218">
        <v>32400</v>
      </c>
      <c r="AA21" s="218">
        <v>32400</v>
      </c>
      <c r="AB21" s="218">
        <v>32400</v>
      </c>
      <c r="AC21" s="218">
        <v>32400</v>
      </c>
      <c r="AD21" s="218">
        <v>32400</v>
      </c>
      <c r="AE21" s="218">
        <v>32400</v>
      </c>
      <c r="AF21" s="218">
        <v>32400</v>
      </c>
      <c r="AG21" s="218">
        <v>32400</v>
      </c>
      <c r="AH21" s="218">
        <v>32400</v>
      </c>
      <c r="AI21" s="218">
        <v>32400</v>
      </c>
      <c r="AJ21" s="218">
        <v>32400</v>
      </c>
      <c r="AK21" s="218">
        <v>32400</v>
      </c>
      <c r="AL21" s="218">
        <v>32400</v>
      </c>
      <c r="AM21" s="218">
        <v>32400</v>
      </c>
      <c r="AN21" s="218">
        <v>32400</v>
      </c>
      <c r="AO21" s="218">
        <v>32400</v>
      </c>
      <c r="AP21" s="218">
        <v>32400</v>
      </c>
      <c r="AQ21" s="219">
        <v>32400</v>
      </c>
      <c r="AS21" s="204" t="s">
        <v>358</v>
      </c>
      <c r="AT21" s="204">
        <v>5.6</v>
      </c>
      <c r="AU21" s="204">
        <v>6.9</v>
      </c>
      <c r="AV21" s="204">
        <v>8.1</v>
      </c>
      <c r="AW21" s="204">
        <v>9.3000000000000007</v>
      </c>
      <c r="AX21" s="204">
        <v>10.5</v>
      </c>
      <c r="AY21" s="204">
        <v>11.8</v>
      </c>
      <c r="AZ21" s="204">
        <v>13</v>
      </c>
      <c r="BA21" s="204">
        <v>14.1</v>
      </c>
      <c r="BB21" s="204">
        <v>15.3</v>
      </c>
      <c r="BC21" s="204">
        <v>16.5</v>
      </c>
      <c r="BD21" s="204">
        <v>17.7</v>
      </c>
      <c r="BE21" s="204">
        <v>18.8</v>
      </c>
      <c r="BF21" s="204">
        <v>19.899999999999999</v>
      </c>
      <c r="BG21" s="204">
        <v>21</v>
      </c>
      <c r="BH21" s="204">
        <v>22.2</v>
      </c>
      <c r="BI21" s="204">
        <v>23.2</v>
      </c>
      <c r="BJ21" s="204">
        <v>24.3</v>
      </c>
      <c r="BK21" s="204">
        <v>25.3</v>
      </c>
      <c r="BL21" s="204">
        <v>26.4</v>
      </c>
      <c r="BM21" s="204">
        <v>27.4</v>
      </c>
      <c r="BN21" s="204">
        <v>28.4</v>
      </c>
      <c r="BO21" s="204">
        <v>29.4</v>
      </c>
      <c r="BP21" s="204">
        <v>30.2</v>
      </c>
      <c r="BQ21" s="204">
        <v>31.2</v>
      </c>
      <c r="BR21" s="204">
        <v>32.1</v>
      </c>
      <c r="BS21" s="204">
        <v>33</v>
      </c>
      <c r="BT21" s="204">
        <v>33.9</v>
      </c>
      <c r="BU21" s="204">
        <v>34.700000000000003</v>
      </c>
      <c r="BV21" s="204">
        <v>35.5</v>
      </c>
      <c r="BW21" s="204">
        <v>36.299999999999997</v>
      </c>
      <c r="BX21" s="204">
        <v>37.1</v>
      </c>
      <c r="BY21" s="204">
        <v>37.700000000000003</v>
      </c>
    </row>
    <row r="22" spans="1:77" x14ac:dyDescent="0.3">
      <c r="K22" s="20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213"/>
      <c r="AS22" s="204" t="s">
        <v>359</v>
      </c>
      <c r="AT22" s="204">
        <v>5</v>
      </c>
      <c r="AU22" s="204">
        <v>6.2</v>
      </c>
      <c r="AV22" s="204">
        <v>7.5</v>
      </c>
      <c r="AW22" s="204">
        <v>8.6999999999999993</v>
      </c>
      <c r="AX22" s="204">
        <v>9.9</v>
      </c>
      <c r="AY22" s="204">
        <v>11.1</v>
      </c>
      <c r="AZ22" s="204">
        <v>12.3</v>
      </c>
      <c r="BA22" s="204">
        <v>13.5</v>
      </c>
      <c r="BB22" s="204">
        <v>14.7</v>
      </c>
      <c r="BC22" s="204">
        <v>15.9</v>
      </c>
      <c r="BD22" s="204">
        <v>17.100000000000001</v>
      </c>
      <c r="BE22" s="204">
        <v>18.2</v>
      </c>
      <c r="BF22" s="204">
        <v>19.3</v>
      </c>
      <c r="BG22" s="204">
        <v>20.399999999999999</v>
      </c>
      <c r="BH22" s="204">
        <v>21.6</v>
      </c>
      <c r="BI22" s="204">
        <v>22.7</v>
      </c>
      <c r="BJ22" s="204">
        <v>23.7</v>
      </c>
      <c r="BK22" s="204">
        <v>24.7</v>
      </c>
      <c r="BL22" s="204">
        <v>25.8</v>
      </c>
      <c r="BM22" s="204">
        <v>26.8</v>
      </c>
      <c r="BN22" s="204">
        <v>27.8</v>
      </c>
      <c r="BO22" s="204">
        <v>28.8</v>
      </c>
      <c r="BP22" s="204">
        <v>29.7</v>
      </c>
      <c r="BQ22" s="204">
        <v>30.7</v>
      </c>
      <c r="BR22" s="204">
        <v>31.6</v>
      </c>
      <c r="BS22" s="204">
        <v>32.4</v>
      </c>
      <c r="BT22" s="204">
        <v>33.299999999999997</v>
      </c>
      <c r="BU22" s="204">
        <v>34.200000000000003</v>
      </c>
      <c r="BV22" s="204">
        <v>34.9</v>
      </c>
      <c r="BW22" s="204">
        <v>35.799999999999997</v>
      </c>
      <c r="BX22" s="204">
        <v>36.5</v>
      </c>
      <c r="BY22" s="204">
        <v>37.200000000000003</v>
      </c>
    </row>
    <row r="23" spans="1:77" x14ac:dyDescent="0.3">
      <c r="K23" s="208" t="s">
        <v>320</v>
      </c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89"/>
      <c r="W23" s="189"/>
      <c r="X23" s="189"/>
      <c r="Y23" s="189"/>
      <c r="Z23" s="189"/>
      <c r="AA23" s="189"/>
      <c r="AB23" s="189"/>
      <c r="AC23" s="189"/>
      <c r="AD23" s="189"/>
      <c r="AE23" s="189"/>
      <c r="AF23" s="189"/>
      <c r="AG23" s="189"/>
      <c r="AH23" s="189"/>
      <c r="AI23" s="189"/>
      <c r="AJ23" s="189"/>
      <c r="AK23" s="189"/>
      <c r="AL23" s="189"/>
      <c r="AM23" s="189"/>
      <c r="AN23" s="189"/>
      <c r="AO23" s="189"/>
      <c r="AP23" s="189"/>
      <c r="AQ23" s="213"/>
    </row>
    <row r="24" spans="1:77" x14ac:dyDescent="0.3">
      <c r="K24" s="208" t="s">
        <v>333</v>
      </c>
      <c r="L24" s="204">
        <v>1.2</v>
      </c>
      <c r="M24" s="204">
        <v>1.4</v>
      </c>
      <c r="N24" s="204">
        <v>1.6</v>
      </c>
      <c r="O24" s="204">
        <v>1.8</v>
      </c>
      <c r="P24" s="204">
        <v>2</v>
      </c>
      <c r="Q24" s="204">
        <v>2.2000000000000002</v>
      </c>
      <c r="R24" s="204">
        <v>2.4000000000000004</v>
      </c>
      <c r="S24" s="204">
        <v>2.6</v>
      </c>
      <c r="T24" s="204">
        <v>2.8</v>
      </c>
      <c r="U24" s="204">
        <v>3</v>
      </c>
      <c r="V24" s="204">
        <v>3.2</v>
      </c>
      <c r="W24" s="204">
        <v>3.4000000000000004</v>
      </c>
      <c r="X24" s="204">
        <v>3.6000000000000005</v>
      </c>
      <c r="Y24" s="204">
        <v>3.8</v>
      </c>
      <c r="Z24" s="204">
        <v>4</v>
      </c>
      <c r="AA24" s="204">
        <v>4.2</v>
      </c>
      <c r="AB24" s="204">
        <v>4.4000000000000004</v>
      </c>
      <c r="AC24" s="204">
        <v>4.6000000000000005</v>
      </c>
      <c r="AD24" s="204">
        <v>4.8</v>
      </c>
      <c r="AE24" s="204">
        <v>5</v>
      </c>
      <c r="AF24" s="204">
        <v>5.2</v>
      </c>
      <c r="AG24" s="204">
        <v>5.4</v>
      </c>
      <c r="AH24" s="204">
        <v>5.6000000000000005</v>
      </c>
      <c r="AI24" s="204">
        <v>5.8000000000000007</v>
      </c>
      <c r="AJ24" s="204">
        <v>6.0000000000000009</v>
      </c>
      <c r="AK24" s="204">
        <v>6.2</v>
      </c>
      <c r="AL24" s="204">
        <v>6.4</v>
      </c>
      <c r="AM24" s="204">
        <v>6.6000000000000005</v>
      </c>
      <c r="AN24" s="204">
        <v>6.8000000000000007</v>
      </c>
      <c r="AO24" s="204">
        <v>7.0000000000000009</v>
      </c>
      <c r="AP24" s="204">
        <v>7.2</v>
      </c>
      <c r="AQ24" s="212">
        <v>7.4</v>
      </c>
    </row>
    <row r="25" spans="1:77" ht="15" thickBot="1" x14ac:dyDescent="0.35">
      <c r="K25" s="210" t="s">
        <v>81</v>
      </c>
      <c r="L25" s="206">
        <v>329965</v>
      </c>
      <c r="M25" s="206">
        <v>298033</v>
      </c>
      <c r="N25" s="206">
        <v>269753</v>
      </c>
      <c r="O25" s="206">
        <v>248028</v>
      </c>
      <c r="P25" s="206">
        <v>229541</v>
      </c>
      <c r="Q25" s="206">
        <v>213619</v>
      </c>
      <c r="R25" s="206">
        <v>199763</v>
      </c>
      <c r="S25" s="206">
        <v>188552</v>
      </c>
      <c r="T25" s="206">
        <v>177674</v>
      </c>
      <c r="U25" s="206">
        <v>168749</v>
      </c>
      <c r="V25" s="206">
        <v>159983</v>
      </c>
      <c r="W25" s="206">
        <v>152711</v>
      </c>
      <c r="X25" s="206">
        <v>146072</v>
      </c>
      <c r="Y25" s="206">
        <v>139985</v>
      </c>
      <c r="Z25" s="206">
        <v>134386</v>
      </c>
      <c r="AA25" s="206">
        <v>129671</v>
      </c>
      <c r="AB25" s="206">
        <v>125275</v>
      </c>
      <c r="AC25" s="206">
        <v>120772</v>
      </c>
      <c r="AD25" s="206">
        <v>116950</v>
      </c>
      <c r="AE25" s="206">
        <v>113711</v>
      </c>
      <c r="AF25" s="206">
        <v>110317</v>
      </c>
      <c r="AG25" s="206">
        <v>107119</v>
      </c>
      <c r="AH25" s="206">
        <v>104691</v>
      </c>
      <c r="AI25" s="206">
        <v>102089</v>
      </c>
      <c r="AJ25" s="206">
        <v>99612</v>
      </c>
      <c r="AK25" s="206">
        <v>97509</v>
      </c>
      <c r="AL25" s="206">
        <v>95248</v>
      </c>
      <c r="AM25" s="206">
        <v>93323</v>
      </c>
      <c r="AN25" s="206">
        <v>91702</v>
      </c>
      <c r="AO25" s="206">
        <v>89918</v>
      </c>
      <c r="AP25" s="206">
        <v>88412</v>
      </c>
      <c r="AQ25" s="214">
        <v>87161</v>
      </c>
    </row>
    <row r="26" spans="1:77" ht="15.6" thickTop="1" thickBot="1" x14ac:dyDescent="0.35"/>
    <row r="27" spans="1:77" ht="15" thickTop="1" x14ac:dyDescent="0.3">
      <c r="K27" s="207" t="s">
        <v>318</v>
      </c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11"/>
    </row>
    <row r="28" spans="1:77" x14ac:dyDescent="0.3">
      <c r="K28" s="208" t="s">
        <v>333</v>
      </c>
      <c r="L28" s="204">
        <v>1.2</v>
      </c>
      <c r="M28" s="204">
        <v>1.4</v>
      </c>
      <c r="N28" s="204">
        <v>1.6</v>
      </c>
      <c r="O28" s="204">
        <v>1.8</v>
      </c>
      <c r="P28" s="204">
        <v>2</v>
      </c>
      <c r="Q28" s="204">
        <v>2.2000000000000002</v>
      </c>
      <c r="R28" s="204">
        <v>2.4000000000000004</v>
      </c>
      <c r="S28" s="204">
        <v>2.6</v>
      </c>
      <c r="T28" s="204">
        <v>2.8</v>
      </c>
      <c r="U28" s="204">
        <v>3</v>
      </c>
      <c r="V28" s="204">
        <v>3.2</v>
      </c>
      <c r="W28" s="204">
        <v>3.4000000000000004</v>
      </c>
      <c r="X28" s="204">
        <v>3.6000000000000005</v>
      </c>
      <c r="Y28" s="204">
        <v>3.8</v>
      </c>
      <c r="Z28" s="204">
        <v>4</v>
      </c>
      <c r="AA28" s="204">
        <v>4.2</v>
      </c>
      <c r="AB28" s="204">
        <v>4.4000000000000004</v>
      </c>
      <c r="AC28" s="204">
        <v>4.6000000000000005</v>
      </c>
      <c r="AD28" s="204">
        <v>4.8</v>
      </c>
      <c r="AE28" s="204">
        <v>5</v>
      </c>
      <c r="AF28" s="204">
        <v>5.2</v>
      </c>
      <c r="AG28" s="204">
        <v>5.4</v>
      </c>
      <c r="AH28" s="204">
        <v>5.6000000000000005</v>
      </c>
      <c r="AI28" s="204">
        <v>5.8000000000000007</v>
      </c>
      <c r="AJ28" s="204">
        <v>6.0000000000000009</v>
      </c>
      <c r="AK28" s="204">
        <v>6.2</v>
      </c>
      <c r="AL28" s="204">
        <v>6.4</v>
      </c>
      <c r="AM28" s="204">
        <v>6.6000000000000005</v>
      </c>
      <c r="AN28" s="204">
        <v>6.8000000000000007</v>
      </c>
      <c r="AO28" s="204">
        <v>7.0000000000000009</v>
      </c>
      <c r="AP28" s="204">
        <v>7.2</v>
      </c>
      <c r="AQ28" s="212">
        <v>7.4</v>
      </c>
    </row>
    <row r="29" spans="1:77" x14ac:dyDescent="0.3">
      <c r="K29" s="208" t="s">
        <v>81</v>
      </c>
      <c r="L29" s="217">
        <v>22629.13</v>
      </c>
      <c r="M29" s="217">
        <v>26060.67</v>
      </c>
      <c r="N29" s="217">
        <v>29477.89</v>
      </c>
      <c r="O29" s="217">
        <v>32875.22</v>
      </c>
      <c r="P29" s="217">
        <v>36263.660000000003</v>
      </c>
      <c r="Q29" s="217">
        <v>39638.19</v>
      </c>
      <c r="R29" s="217">
        <v>43006.33</v>
      </c>
      <c r="S29" s="204">
        <v>46353.97</v>
      </c>
      <c r="T29" s="204">
        <v>49688.07</v>
      </c>
      <c r="U29" s="204">
        <v>53017.78</v>
      </c>
      <c r="V29" s="204">
        <v>56325.71</v>
      </c>
      <c r="W29" s="204">
        <v>59630.51</v>
      </c>
      <c r="X29" s="204">
        <v>62923.29</v>
      </c>
      <c r="Y29" s="204">
        <v>66204.14</v>
      </c>
      <c r="Z29" s="204">
        <v>69473.149999999994</v>
      </c>
      <c r="AA29" s="204">
        <v>72730.429999999993</v>
      </c>
      <c r="AB29" s="204">
        <v>76001.23</v>
      </c>
      <c r="AC29" s="204">
        <v>79236.3</v>
      </c>
      <c r="AD29" s="204">
        <v>82473.47</v>
      </c>
      <c r="AE29" s="204">
        <v>85714.29</v>
      </c>
      <c r="AF29" s="204">
        <v>88931.199999999997</v>
      </c>
      <c r="AG29" s="204">
        <v>92137.84</v>
      </c>
      <c r="AH29" s="204">
        <v>95365.28</v>
      </c>
      <c r="AI29" s="204">
        <v>98552.56</v>
      </c>
      <c r="AJ29" s="204">
        <v>101762.65</v>
      </c>
      <c r="AK29" s="204">
        <v>104947.71</v>
      </c>
      <c r="AL29" s="204">
        <v>108141.15</v>
      </c>
      <c r="AM29" s="204">
        <v>111326.56</v>
      </c>
      <c r="AN29" s="204">
        <v>114522.31</v>
      </c>
      <c r="AO29" s="204">
        <v>117692.27</v>
      </c>
      <c r="AP29" s="204">
        <v>120854.36</v>
      </c>
      <c r="AQ29" s="212">
        <v>124047.97</v>
      </c>
    </row>
    <row r="30" spans="1:77" x14ac:dyDescent="0.3">
      <c r="K30" s="20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/>
      <c r="AE30" s="189"/>
      <c r="AF30" s="189"/>
      <c r="AG30" s="189"/>
      <c r="AH30" s="189"/>
      <c r="AI30" s="189"/>
      <c r="AJ30" s="189"/>
      <c r="AK30" s="189"/>
      <c r="AL30" s="189"/>
      <c r="AM30" s="189"/>
      <c r="AN30" s="189"/>
      <c r="AO30" s="189"/>
      <c r="AP30" s="189"/>
      <c r="AQ30" s="213"/>
    </row>
    <row r="31" spans="1:77" x14ac:dyDescent="0.3">
      <c r="K31" s="208" t="s">
        <v>325</v>
      </c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  <c r="AC31" s="189"/>
      <c r="AD31" s="189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213"/>
    </row>
    <row r="32" spans="1:77" x14ac:dyDescent="0.3">
      <c r="K32" s="208" t="s">
        <v>335</v>
      </c>
      <c r="L32" s="204">
        <v>1.2</v>
      </c>
      <c r="M32" s="204">
        <v>1.4</v>
      </c>
      <c r="N32" s="204">
        <v>1.6</v>
      </c>
      <c r="O32" s="204">
        <v>1.8</v>
      </c>
      <c r="P32" s="204">
        <v>2</v>
      </c>
      <c r="Q32" s="204">
        <v>2.2000000000000002</v>
      </c>
      <c r="R32" s="204">
        <v>2.4000000000000004</v>
      </c>
      <c r="S32" s="204">
        <v>2.6</v>
      </c>
      <c r="T32" s="204">
        <v>2.8</v>
      </c>
      <c r="U32" s="204">
        <v>3</v>
      </c>
      <c r="V32" s="204">
        <v>3.2</v>
      </c>
      <c r="W32" s="204">
        <v>3.4000000000000004</v>
      </c>
      <c r="X32" s="204">
        <v>3.6000000000000005</v>
      </c>
      <c r="Y32" s="204">
        <v>3.8</v>
      </c>
      <c r="Z32" s="204">
        <v>4</v>
      </c>
      <c r="AA32" s="204">
        <v>4.2</v>
      </c>
      <c r="AB32" s="204">
        <v>4.4000000000000004</v>
      </c>
      <c r="AC32" s="204">
        <v>4.6000000000000005</v>
      </c>
      <c r="AD32" s="204">
        <v>4.8</v>
      </c>
      <c r="AE32" s="204">
        <v>5</v>
      </c>
      <c r="AF32" s="204">
        <v>5.2</v>
      </c>
      <c r="AG32" s="204">
        <v>5.4</v>
      </c>
      <c r="AH32" s="204">
        <v>5.6000000000000005</v>
      </c>
      <c r="AI32" s="204">
        <v>5.8000000000000007</v>
      </c>
      <c r="AJ32" s="204">
        <v>6.0000000000000009</v>
      </c>
      <c r="AK32" s="204">
        <v>6.2</v>
      </c>
      <c r="AL32" s="204">
        <v>6.4</v>
      </c>
      <c r="AM32" s="204">
        <v>6.6000000000000005</v>
      </c>
      <c r="AN32" s="204">
        <v>6.8000000000000007</v>
      </c>
      <c r="AO32" s="204">
        <v>7.0000000000000009</v>
      </c>
      <c r="AP32" s="204">
        <v>7.2</v>
      </c>
      <c r="AQ32" s="212">
        <v>7.4</v>
      </c>
    </row>
    <row r="33" spans="11:43" x14ac:dyDescent="0.3">
      <c r="K33" s="208" t="s">
        <v>81</v>
      </c>
      <c r="L33" s="204">
        <v>248229</v>
      </c>
      <c r="M33" s="204">
        <v>288796</v>
      </c>
      <c r="N33" s="204">
        <v>329004</v>
      </c>
      <c r="O33" s="204">
        <v>370034</v>
      </c>
      <c r="P33" s="204">
        <v>412036</v>
      </c>
      <c r="Q33" s="204">
        <v>454183</v>
      </c>
      <c r="R33" s="204">
        <v>496881</v>
      </c>
      <c r="S33" s="204">
        <v>540734</v>
      </c>
      <c r="T33" s="204">
        <v>583974</v>
      </c>
      <c r="U33" s="204">
        <v>627694</v>
      </c>
      <c r="V33" s="204">
        <v>673405</v>
      </c>
      <c r="W33" s="204">
        <v>718218</v>
      </c>
      <c r="X33" s="204">
        <v>763537</v>
      </c>
      <c r="Y33" s="204">
        <v>811219</v>
      </c>
      <c r="Z33" s="204">
        <v>857695</v>
      </c>
      <c r="AA33" s="204">
        <v>904708</v>
      </c>
      <c r="AB33" s="204">
        <v>953373</v>
      </c>
      <c r="AC33" s="204">
        <v>1000380</v>
      </c>
      <c r="AD33" s="204">
        <v>1049058</v>
      </c>
      <c r="AE33" s="204">
        <v>1099609</v>
      </c>
      <c r="AF33" s="204">
        <v>1148148</v>
      </c>
      <c r="AG33" s="204">
        <v>1198581</v>
      </c>
      <c r="AH33" s="204">
        <v>1249620</v>
      </c>
      <c r="AI33" s="204">
        <v>1299705</v>
      </c>
      <c r="AJ33" s="204">
        <v>1351916</v>
      </c>
      <c r="AK33" s="204">
        <v>1404766</v>
      </c>
      <c r="AL33" s="204">
        <v>1456475</v>
      </c>
      <c r="AM33" s="204">
        <v>1508694</v>
      </c>
      <c r="AN33" s="204">
        <v>1563371</v>
      </c>
      <c r="AO33" s="204">
        <v>1614695</v>
      </c>
      <c r="AP33" s="204">
        <v>1668493</v>
      </c>
      <c r="AQ33" s="212">
        <v>1725005</v>
      </c>
    </row>
    <row r="34" spans="11:43" x14ac:dyDescent="0.3">
      <c r="K34" s="20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  <c r="AO34" s="189"/>
      <c r="AP34" s="189"/>
      <c r="AQ34" s="213"/>
    </row>
    <row r="35" spans="11:43" x14ac:dyDescent="0.3">
      <c r="K35" s="208" t="s">
        <v>331</v>
      </c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189"/>
      <c r="AH35" s="189"/>
      <c r="AI35" s="189"/>
      <c r="AJ35" s="189"/>
      <c r="AK35" s="189"/>
      <c r="AL35" s="189"/>
      <c r="AM35" s="189"/>
      <c r="AN35" s="189"/>
      <c r="AO35" s="189"/>
      <c r="AP35" s="189"/>
      <c r="AQ35" s="213"/>
    </row>
    <row r="36" spans="11:43" x14ac:dyDescent="0.3">
      <c r="K36" s="208" t="s">
        <v>335</v>
      </c>
      <c r="L36" s="204">
        <v>0.30000000000000004</v>
      </c>
      <c r="M36" s="204">
        <v>0.30000000000000004</v>
      </c>
      <c r="N36" s="204">
        <v>0.30000000000000004</v>
      </c>
      <c r="O36" s="204">
        <v>0.30000000000000004</v>
      </c>
      <c r="P36" s="204">
        <v>0.30000000000000004</v>
      </c>
      <c r="Q36" s="204">
        <v>0.30000000000000004</v>
      </c>
      <c r="R36" s="204">
        <v>0.30000000000000004</v>
      </c>
      <c r="S36" s="204">
        <v>0.30000000000000004</v>
      </c>
      <c r="T36" s="204">
        <v>0.30000000000000004</v>
      </c>
      <c r="U36" s="204">
        <v>0.30000000000000004</v>
      </c>
      <c r="V36" s="204">
        <v>0.30000000000000004</v>
      </c>
      <c r="W36" s="204">
        <v>0.30000000000000004</v>
      </c>
      <c r="X36" s="204">
        <v>0.30000000000000004</v>
      </c>
      <c r="Y36" s="204">
        <v>0.30000000000000004</v>
      </c>
      <c r="Z36" s="204">
        <v>0.30000000000000004</v>
      </c>
      <c r="AA36" s="204">
        <v>0.30000000000000004</v>
      </c>
      <c r="AB36" s="204">
        <v>0.30000000000000004</v>
      </c>
      <c r="AC36" s="204">
        <v>0.30000000000000004</v>
      </c>
      <c r="AD36" s="204">
        <v>0.30000000000000004</v>
      </c>
      <c r="AE36" s="204">
        <v>0.30000000000000004</v>
      </c>
      <c r="AF36" s="204">
        <v>0.30000000000000004</v>
      </c>
      <c r="AG36" s="204">
        <v>0.30000000000000004</v>
      </c>
      <c r="AH36" s="204">
        <v>0.30000000000000004</v>
      </c>
      <c r="AI36" s="204">
        <v>0.30000000000000004</v>
      </c>
      <c r="AJ36" s="204">
        <v>0.30000000000000004</v>
      </c>
      <c r="AK36" s="204">
        <v>0.30000000000000004</v>
      </c>
      <c r="AL36" s="204">
        <v>0.30000000000000004</v>
      </c>
      <c r="AM36" s="204">
        <v>0.30000000000000004</v>
      </c>
      <c r="AN36" s="204">
        <v>0.30000000000000004</v>
      </c>
      <c r="AO36" s="204">
        <v>0.30000000000000004</v>
      </c>
      <c r="AP36" s="204">
        <v>0.30000000000000004</v>
      </c>
      <c r="AQ36" s="212">
        <v>0.30000000000000004</v>
      </c>
    </row>
    <row r="37" spans="11:43" x14ac:dyDescent="0.3">
      <c r="K37" s="208" t="s">
        <v>81</v>
      </c>
      <c r="L37" s="189">
        <v>43328</v>
      </c>
      <c r="M37" s="189">
        <v>43328</v>
      </c>
      <c r="N37" s="189">
        <v>43328</v>
      </c>
      <c r="O37" s="189">
        <v>43328</v>
      </c>
      <c r="P37" s="189">
        <v>43328</v>
      </c>
      <c r="Q37" s="189">
        <v>43328</v>
      </c>
      <c r="R37" s="189">
        <v>43328</v>
      </c>
      <c r="S37" s="218">
        <v>43328</v>
      </c>
      <c r="T37" s="218">
        <v>43328</v>
      </c>
      <c r="U37" s="218">
        <v>43328</v>
      </c>
      <c r="V37" s="218">
        <v>43328</v>
      </c>
      <c r="W37" s="218">
        <v>43328</v>
      </c>
      <c r="X37" s="218">
        <v>43328</v>
      </c>
      <c r="Y37" s="218">
        <v>43328</v>
      </c>
      <c r="Z37" s="218">
        <v>43328</v>
      </c>
      <c r="AA37" s="218">
        <v>43328</v>
      </c>
      <c r="AB37" s="218">
        <v>43328</v>
      </c>
      <c r="AC37" s="218">
        <v>43328</v>
      </c>
      <c r="AD37" s="218">
        <v>43328</v>
      </c>
      <c r="AE37" s="218">
        <v>43328</v>
      </c>
      <c r="AF37" s="218">
        <v>43328</v>
      </c>
      <c r="AG37" s="218">
        <v>43328</v>
      </c>
      <c r="AH37" s="218">
        <v>43328</v>
      </c>
      <c r="AI37" s="218">
        <v>43328</v>
      </c>
      <c r="AJ37" s="218">
        <v>43328</v>
      </c>
      <c r="AK37" s="218">
        <v>43328</v>
      </c>
      <c r="AL37" s="218">
        <v>43328</v>
      </c>
      <c r="AM37" s="218">
        <v>43328</v>
      </c>
      <c r="AN37" s="218">
        <v>43328</v>
      </c>
      <c r="AO37" s="218">
        <v>43328</v>
      </c>
      <c r="AP37" s="218">
        <v>43328</v>
      </c>
      <c r="AQ37" s="219">
        <v>43328</v>
      </c>
    </row>
    <row r="38" spans="11:43" x14ac:dyDescent="0.3">
      <c r="K38" s="20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213"/>
    </row>
    <row r="39" spans="11:43" x14ac:dyDescent="0.3">
      <c r="K39" s="208" t="s">
        <v>320</v>
      </c>
      <c r="L39" s="189"/>
      <c r="M39" s="189"/>
      <c r="N39" s="189"/>
      <c r="O39" s="189"/>
      <c r="P39" s="189"/>
      <c r="Q39" s="189"/>
      <c r="R39" s="189"/>
      <c r="S39" s="189"/>
      <c r="T39" s="189"/>
      <c r="U39" s="189"/>
      <c r="V39" s="189"/>
      <c r="W39" s="189"/>
      <c r="X39" s="189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  <c r="AO39" s="189"/>
      <c r="AP39" s="189"/>
      <c r="AQ39" s="213"/>
    </row>
    <row r="40" spans="11:43" x14ac:dyDescent="0.3">
      <c r="K40" s="208" t="s">
        <v>333</v>
      </c>
      <c r="L40" s="204">
        <v>1.2</v>
      </c>
      <c r="M40" s="204">
        <v>1.4</v>
      </c>
      <c r="N40" s="204">
        <v>1.6</v>
      </c>
      <c r="O40" s="204">
        <v>1.8</v>
      </c>
      <c r="P40" s="204">
        <v>2</v>
      </c>
      <c r="Q40" s="204">
        <v>2.2000000000000002</v>
      </c>
      <c r="R40" s="204">
        <v>2.4000000000000004</v>
      </c>
      <c r="S40" s="204">
        <v>2.6</v>
      </c>
      <c r="T40" s="204">
        <v>2.8</v>
      </c>
      <c r="U40" s="204">
        <v>3</v>
      </c>
      <c r="V40" s="204">
        <v>3.2</v>
      </c>
      <c r="W40" s="204">
        <v>3.4000000000000004</v>
      </c>
      <c r="X40" s="204">
        <v>3.6000000000000005</v>
      </c>
      <c r="Y40" s="204">
        <v>3.8</v>
      </c>
      <c r="Z40" s="204">
        <v>4</v>
      </c>
      <c r="AA40" s="204">
        <v>4.2</v>
      </c>
      <c r="AB40" s="204">
        <v>4.4000000000000004</v>
      </c>
      <c r="AC40" s="204">
        <v>4.6000000000000005</v>
      </c>
      <c r="AD40" s="204">
        <v>4.8</v>
      </c>
      <c r="AE40" s="204">
        <v>5</v>
      </c>
      <c r="AF40" s="204">
        <v>5.2</v>
      </c>
      <c r="AG40" s="204">
        <v>5.4</v>
      </c>
      <c r="AH40" s="204">
        <v>5.6000000000000005</v>
      </c>
      <c r="AI40" s="204">
        <v>5.8000000000000007</v>
      </c>
      <c r="AJ40" s="204">
        <v>6.0000000000000009</v>
      </c>
      <c r="AK40" s="204">
        <v>6.2</v>
      </c>
      <c r="AL40" s="204">
        <v>6.4</v>
      </c>
      <c r="AM40" s="204">
        <v>6.6000000000000005</v>
      </c>
      <c r="AN40" s="204">
        <v>6.8000000000000007</v>
      </c>
      <c r="AO40" s="204">
        <v>7.0000000000000009</v>
      </c>
      <c r="AP40" s="204">
        <v>7.2</v>
      </c>
      <c r="AQ40" s="212">
        <v>7.4</v>
      </c>
    </row>
    <row r="41" spans="11:43" ht="15" thickBot="1" x14ac:dyDescent="0.35">
      <c r="K41" s="210" t="s">
        <v>81</v>
      </c>
      <c r="L41" s="206">
        <v>346656</v>
      </c>
      <c r="M41" s="206">
        <v>311403</v>
      </c>
      <c r="N41" s="206">
        <v>282658</v>
      </c>
      <c r="O41" s="206">
        <v>256962</v>
      </c>
      <c r="P41" s="206">
        <v>237068</v>
      </c>
      <c r="Q41" s="206">
        <v>220033</v>
      </c>
      <c r="R41" s="206">
        <v>206436</v>
      </c>
      <c r="S41" s="206">
        <v>193397</v>
      </c>
      <c r="T41" s="206">
        <v>181909</v>
      </c>
      <c r="U41" s="206">
        <v>172514</v>
      </c>
      <c r="V41" s="206">
        <v>163313</v>
      </c>
      <c r="W41" s="206">
        <v>155701</v>
      </c>
      <c r="X41" s="206">
        <v>148767</v>
      </c>
      <c r="Y41" s="206">
        <v>142425</v>
      </c>
      <c r="Z41" s="206">
        <v>136600</v>
      </c>
      <c r="AA41" s="206">
        <v>131234</v>
      </c>
      <c r="AB41" s="206">
        <v>127147</v>
      </c>
      <c r="AC41" s="206">
        <v>122485</v>
      </c>
      <c r="AD41" s="206">
        <v>118534</v>
      </c>
      <c r="AE41" s="206">
        <v>115190</v>
      </c>
      <c r="AF41" s="206">
        <v>111689</v>
      </c>
      <c r="AG41" s="206">
        <v>108394</v>
      </c>
      <c r="AH41" s="206">
        <v>105895</v>
      </c>
      <c r="AI41" s="206">
        <v>102929</v>
      </c>
      <c r="AJ41" s="206">
        <v>100673</v>
      </c>
      <c r="AK41" s="206">
        <v>98250</v>
      </c>
      <c r="AL41" s="206">
        <v>96192</v>
      </c>
      <c r="AM41" s="206">
        <v>94219</v>
      </c>
      <c r="AN41" s="206">
        <v>92558</v>
      </c>
      <c r="AO41" s="206">
        <v>90730</v>
      </c>
      <c r="AP41" s="206">
        <v>88972</v>
      </c>
      <c r="AQ41" s="214">
        <v>87698</v>
      </c>
    </row>
    <row r="42" spans="11:43" ht="15.6" thickTop="1" thickBot="1" x14ac:dyDescent="0.35"/>
    <row r="43" spans="11:43" ht="15" thickTop="1" x14ac:dyDescent="0.3">
      <c r="K43" s="207" t="s">
        <v>318</v>
      </c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205"/>
      <c r="AI43" s="205"/>
      <c r="AJ43" s="205"/>
      <c r="AK43" s="205"/>
      <c r="AL43" s="205"/>
      <c r="AM43" s="205"/>
      <c r="AN43" s="205"/>
      <c r="AO43" s="205"/>
      <c r="AP43" s="205"/>
      <c r="AQ43" s="211"/>
    </row>
    <row r="44" spans="11:43" x14ac:dyDescent="0.3">
      <c r="K44" s="208" t="s">
        <v>333</v>
      </c>
      <c r="L44" s="204">
        <v>1.2</v>
      </c>
      <c r="M44" s="204">
        <v>1.4</v>
      </c>
      <c r="N44" s="204">
        <v>1.6</v>
      </c>
      <c r="O44" s="204">
        <v>1.8</v>
      </c>
      <c r="P44" s="204">
        <v>2</v>
      </c>
      <c r="Q44" s="204">
        <v>2.2000000000000002</v>
      </c>
      <c r="R44" s="204">
        <v>2.4000000000000004</v>
      </c>
      <c r="S44" s="204">
        <v>2.6</v>
      </c>
      <c r="T44" s="204">
        <v>2.8</v>
      </c>
      <c r="U44" s="204">
        <v>3</v>
      </c>
      <c r="V44" s="204">
        <v>3.2</v>
      </c>
      <c r="W44" s="204">
        <v>3.4000000000000004</v>
      </c>
      <c r="X44" s="204">
        <v>3.6000000000000005</v>
      </c>
      <c r="Y44" s="204">
        <v>3.8</v>
      </c>
      <c r="Z44" s="204">
        <v>4</v>
      </c>
      <c r="AA44" s="204">
        <v>4.2</v>
      </c>
      <c r="AB44" s="204">
        <v>4.4000000000000004</v>
      </c>
      <c r="AC44" s="204">
        <v>4.6000000000000005</v>
      </c>
      <c r="AD44" s="204">
        <v>4.8</v>
      </c>
      <c r="AE44" s="204">
        <v>5</v>
      </c>
      <c r="AF44" s="204">
        <v>5.2</v>
      </c>
      <c r="AG44" s="204">
        <v>5.4</v>
      </c>
      <c r="AH44" s="204">
        <v>5.6000000000000005</v>
      </c>
      <c r="AI44" s="204">
        <v>5.8000000000000007</v>
      </c>
      <c r="AJ44" s="204">
        <v>6.0000000000000009</v>
      </c>
      <c r="AK44" s="204">
        <v>6.2</v>
      </c>
      <c r="AL44" s="204">
        <v>6.4</v>
      </c>
      <c r="AM44" s="204">
        <v>6.6000000000000005</v>
      </c>
      <c r="AN44" s="204">
        <v>6.8000000000000007</v>
      </c>
      <c r="AO44" s="204">
        <v>7.0000000000000009</v>
      </c>
      <c r="AP44" s="204">
        <v>7.2</v>
      </c>
      <c r="AQ44" s="212">
        <v>7.4</v>
      </c>
    </row>
    <row r="45" spans="11:43" x14ac:dyDescent="0.3">
      <c r="K45" s="208" t="s">
        <v>81</v>
      </c>
      <c r="L45" s="217">
        <v>22653.1</v>
      </c>
      <c r="M45" s="217">
        <v>26088.16</v>
      </c>
      <c r="N45" s="217">
        <v>29508.86</v>
      </c>
      <c r="O45" s="217">
        <v>32915.339999999997</v>
      </c>
      <c r="P45" s="217">
        <v>36307.730000000003</v>
      </c>
      <c r="Q45" s="217">
        <v>39686.160000000003</v>
      </c>
      <c r="R45" s="217">
        <v>43050.76</v>
      </c>
      <c r="S45" s="217">
        <v>46401.67</v>
      </c>
      <c r="T45" s="217">
        <v>49738.99</v>
      </c>
      <c r="U45" s="217">
        <v>53071.9</v>
      </c>
      <c r="V45" s="204">
        <v>56382.98</v>
      </c>
      <c r="W45" s="204">
        <v>59690.92</v>
      </c>
      <c r="X45" s="204">
        <v>62986.79</v>
      </c>
      <c r="Y45" s="204">
        <v>66270.710000000006</v>
      </c>
      <c r="Z45" s="204">
        <v>69542.75</v>
      </c>
      <c r="AA45" s="204">
        <v>72803.03</v>
      </c>
      <c r="AB45" s="204">
        <v>76064.25</v>
      </c>
      <c r="AC45" s="204">
        <v>79314.87</v>
      </c>
      <c r="AD45" s="204">
        <v>82554.98</v>
      </c>
      <c r="AE45" s="204">
        <v>85784.65</v>
      </c>
      <c r="AF45" s="204">
        <v>89003.96</v>
      </c>
      <c r="AG45" s="204">
        <v>92228.04</v>
      </c>
      <c r="AH45" s="204">
        <v>95442.86</v>
      </c>
      <c r="AI45" s="204">
        <v>98648.47</v>
      </c>
      <c r="AJ45" s="204">
        <v>101844.95</v>
      </c>
      <c r="AK45" s="204">
        <v>105049.29</v>
      </c>
      <c r="AL45" s="204">
        <v>108228.13</v>
      </c>
      <c r="AM45" s="204">
        <v>111415.87</v>
      </c>
      <c r="AN45" s="204">
        <v>114613.98</v>
      </c>
      <c r="AO45" s="204">
        <v>117786.24000000001</v>
      </c>
      <c r="AP45" s="204">
        <v>120950.6</v>
      </c>
      <c r="AQ45" s="212">
        <v>124166.32</v>
      </c>
    </row>
    <row r="46" spans="11:43" x14ac:dyDescent="0.3">
      <c r="K46" s="20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213"/>
    </row>
    <row r="47" spans="11:43" x14ac:dyDescent="0.3">
      <c r="K47" s="208" t="s">
        <v>325</v>
      </c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  <c r="AO47" s="189"/>
      <c r="AP47" s="189"/>
      <c r="AQ47" s="213"/>
    </row>
    <row r="48" spans="11:43" x14ac:dyDescent="0.3">
      <c r="K48" s="208" t="s">
        <v>335</v>
      </c>
      <c r="L48" s="204">
        <v>1.2</v>
      </c>
      <c r="M48" s="204">
        <v>1.4</v>
      </c>
      <c r="N48" s="204">
        <v>1.6</v>
      </c>
      <c r="O48" s="204">
        <v>1.8</v>
      </c>
      <c r="P48" s="204">
        <v>2</v>
      </c>
      <c r="Q48" s="204">
        <v>2.2000000000000002</v>
      </c>
      <c r="R48" s="204">
        <v>2.4000000000000004</v>
      </c>
      <c r="S48" s="204">
        <v>2.6</v>
      </c>
      <c r="T48" s="204">
        <v>2.8</v>
      </c>
      <c r="U48" s="204">
        <v>3</v>
      </c>
      <c r="V48" s="204">
        <v>3.2</v>
      </c>
      <c r="W48" s="204">
        <v>3.4000000000000004</v>
      </c>
      <c r="X48" s="204">
        <v>3.6000000000000005</v>
      </c>
      <c r="Y48" s="204">
        <v>3.8</v>
      </c>
      <c r="Z48" s="204">
        <v>4</v>
      </c>
      <c r="AA48" s="204">
        <v>4.2</v>
      </c>
      <c r="AB48" s="204">
        <v>4.4000000000000004</v>
      </c>
      <c r="AC48" s="204">
        <v>4.6000000000000005</v>
      </c>
      <c r="AD48" s="204">
        <v>4.8</v>
      </c>
      <c r="AE48" s="204">
        <v>5</v>
      </c>
      <c r="AF48" s="204">
        <v>5.2</v>
      </c>
      <c r="AG48" s="204">
        <v>5.4</v>
      </c>
      <c r="AH48" s="204">
        <v>5.6000000000000005</v>
      </c>
      <c r="AI48" s="204">
        <v>5.8000000000000007</v>
      </c>
      <c r="AJ48" s="204">
        <v>6.0000000000000009</v>
      </c>
      <c r="AK48" s="204">
        <v>6.2</v>
      </c>
      <c r="AL48" s="204">
        <v>6.4</v>
      </c>
      <c r="AM48" s="204">
        <v>6.6000000000000005</v>
      </c>
      <c r="AN48" s="204">
        <v>6.8000000000000007</v>
      </c>
      <c r="AO48" s="204">
        <v>7.0000000000000009</v>
      </c>
      <c r="AP48" s="204">
        <v>7.2</v>
      </c>
      <c r="AQ48" s="212">
        <v>7.4</v>
      </c>
    </row>
    <row r="49" spans="11:43" x14ac:dyDescent="0.3">
      <c r="K49" s="208" t="s">
        <v>81</v>
      </c>
      <c r="L49" s="204">
        <v>248229</v>
      </c>
      <c r="M49" s="204">
        <v>288796</v>
      </c>
      <c r="N49" s="204">
        <v>329004</v>
      </c>
      <c r="O49" s="204">
        <v>370034</v>
      </c>
      <c r="P49" s="204">
        <v>412036</v>
      </c>
      <c r="Q49" s="204">
        <v>454183</v>
      </c>
      <c r="R49" s="204">
        <v>496881</v>
      </c>
      <c r="S49" s="204">
        <v>540734</v>
      </c>
      <c r="T49" s="204">
        <v>583974</v>
      </c>
      <c r="U49" s="204">
        <v>627694</v>
      </c>
      <c r="V49" s="204">
        <v>673405</v>
      </c>
      <c r="W49" s="204">
        <v>718218</v>
      </c>
      <c r="X49" s="204">
        <v>763537</v>
      </c>
      <c r="Y49" s="204">
        <v>811219</v>
      </c>
      <c r="Z49" s="204">
        <v>857695</v>
      </c>
      <c r="AA49" s="204">
        <v>904708</v>
      </c>
      <c r="AB49" s="204">
        <v>953373</v>
      </c>
      <c r="AC49" s="204">
        <v>1000380</v>
      </c>
      <c r="AD49" s="204">
        <v>1049058</v>
      </c>
      <c r="AE49" s="204">
        <v>1099609</v>
      </c>
      <c r="AF49" s="204">
        <v>1148148</v>
      </c>
      <c r="AG49" s="204">
        <v>1198581</v>
      </c>
      <c r="AH49" s="204">
        <v>1249620</v>
      </c>
      <c r="AI49" s="204">
        <v>1299705</v>
      </c>
      <c r="AJ49" s="204">
        <v>1351916</v>
      </c>
      <c r="AK49" s="204">
        <v>1404766</v>
      </c>
      <c r="AL49" s="204">
        <v>1456475</v>
      </c>
      <c r="AM49" s="204">
        <v>1508694</v>
      </c>
      <c r="AN49" s="204">
        <v>1563371</v>
      </c>
      <c r="AO49" s="204">
        <v>1614695</v>
      </c>
      <c r="AP49" s="204">
        <v>1668493</v>
      </c>
      <c r="AQ49" s="212">
        <v>1725005</v>
      </c>
    </row>
    <row r="50" spans="11:43" x14ac:dyDescent="0.3">
      <c r="K50" s="20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  <c r="AO50" s="189"/>
      <c r="AP50" s="189"/>
      <c r="AQ50" s="213"/>
    </row>
    <row r="51" spans="11:43" x14ac:dyDescent="0.3">
      <c r="K51" s="208" t="s">
        <v>331</v>
      </c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  <c r="AO51" s="189"/>
      <c r="AP51" s="189"/>
      <c r="AQ51" s="213"/>
    </row>
    <row r="52" spans="11:43" x14ac:dyDescent="0.3">
      <c r="K52" s="208" t="s">
        <v>335</v>
      </c>
      <c r="L52" s="204">
        <v>0.4</v>
      </c>
      <c r="M52" s="204">
        <v>0.4</v>
      </c>
      <c r="N52" s="204">
        <v>0.4</v>
      </c>
      <c r="O52" s="204">
        <v>0.4</v>
      </c>
      <c r="P52" s="204">
        <v>0.4</v>
      </c>
      <c r="Q52" s="204">
        <v>0.4</v>
      </c>
      <c r="R52" s="204">
        <v>0.4</v>
      </c>
      <c r="S52" s="204">
        <v>0.4</v>
      </c>
      <c r="T52" s="204">
        <v>0.4</v>
      </c>
      <c r="U52" s="204">
        <v>0.4</v>
      </c>
      <c r="V52" s="204">
        <v>0.4</v>
      </c>
      <c r="W52" s="204">
        <v>0.4</v>
      </c>
      <c r="X52" s="204">
        <v>0.4</v>
      </c>
      <c r="Y52" s="204">
        <v>0.4</v>
      </c>
      <c r="Z52" s="204">
        <v>0.4</v>
      </c>
      <c r="AA52" s="204">
        <v>0.4</v>
      </c>
      <c r="AB52" s="204">
        <v>0.4</v>
      </c>
      <c r="AC52" s="204">
        <v>0.4</v>
      </c>
      <c r="AD52" s="204">
        <v>0.4</v>
      </c>
      <c r="AE52" s="204">
        <v>0.4</v>
      </c>
      <c r="AF52" s="204">
        <v>0.4</v>
      </c>
      <c r="AG52" s="204">
        <v>0.4</v>
      </c>
      <c r="AH52" s="204">
        <v>0.4</v>
      </c>
      <c r="AI52" s="204">
        <v>0.4</v>
      </c>
      <c r="AJ52" s="204">
        <v>0.4</v>
      </c>
      <c r="AK52" s="204">
        <v>0.4</v>
      </c>
      <c r="AL52" s="204">
        <v>0.4</v>
      </c>
      <c r="AM52" s="204">
        <v>0.4</v>
      </c>
      <c r="AN52" s="204">
        <v>0.4</v>
      </c>
      <c r="AO52" s="204">
        <v>0.4</v>
      </c>
      <c r="AP52" s="204">
        <v>0.4</v>
      </c>
      <c r="AQ52" s="212">
        <v>0.4</v>
      </c>
    </row>
    <row r="53" spans="11:43" x14ac:dyDescent="0.3">
      <c r="K53" s="208" t="s">
        <v>81</v>
      </c>
      <c r="L53" s="189">
        <v>54290</v>
      </c>
      <c r="M53" s="189">
        <v>54290</v>
      </c>
      <c r="N53" s="189">
        <v>54290</v>
      </c>
      <c r="O53" s="189">
        <v>54290</v>
      </c>
      <c r="P53" s="189">
        <v>54290</v>
      </c>
      <c r="Q53" s="189">
        <v>54290</v>
      </c>
      <c r="R53" s="189">
        <v>54290</v>
      </c>
      <c r="S53" s="189">
        <v>54290</v>
      </c>
      <c r="T53" s="189">
        <v>54290</v>
      </c>
      <c r="U53" s="189">
        <v>54290</v>
      </c>
      <c r="V53" s="218">
        <v>54290</v>
      </c>
      <c r="W53" s="218">
        <v>54290</v>
      </c>
      <c r="X53" s="218">
        <v>54290</v>
      </c>
      <c r="Y53" s="218">
        <v>54290</v>
      </c>
      <c r="Z53" s="218">
        <v>54290</v>
      </c>
      <c r="AA53" s="218">
        <v>54290</v>
      </c>
      <c r="AB53" s="218">
        <v>54290</v>
      </c>
      <c r="AC53" s="218">
        <v>54290</v>
      </c>
      <c r="AD53" s="218">
        <v>54290</v>
      </c>
      <c r="AE53" s="218">
        <v>54290</v>
      </c>
      <c r="AF53" s="218">
        <v>54290</v>
      </c>
      <c r="AG53" s="218">
        <v>54290</v>
      </c>
      <c r="AH53" s="218">
        <v>54290</v>
      </c>
      <c r="AI53" s="218">
        <v>54290</v>
      </c>
      <c r="AJ53" s="218">
        <v>54290</v>
      </c>
      <c r="AK53" s="218">
        <v>54290</v>
      </c>
      <c r="AL53" s="218">
        <v>54290</v>
      </c>
      <c r="AM53" s="218">
        <v>54290</v>
      </c>
      <c r="AN53" s="218">
        <v>54290</v>
      </c>
      <c r="AO53" s="218">
        <v>54290</v>
      </c>
      <c r="AP53" s="218">
        <v>54290</v>
      </c>
      <c r="AQ53" s="219">
        <v>54290</v>
      </c>
    </row>
    <row r="54" spans="11:43" x14ac:dyDescent="0.3">
      <c r="K54" s="209"/>
      <c r="L54" s="189"/>
      <c r="M54" s="189"/>
      <c r="N54" s="189"/>
      <c r="O54" s="189"/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213"/>
    </row>
    <row r="55" spans="11:43" x14ac:dyDescent="0.3">
      <c r="K55" s="208" t="s">
        <v>320</v>
      </c>
      <c r="L55" s="189"/>
      <c r="M55" s="189"/>
      <c r="N55" s="189"/>
      <c r="O55" s="189"/>
      <c r="P55" s="189"/>
      <c r="Q55" s="189"/>
      <c r="R55" s="189"/>
      <c r="S55" s="189"/>
      <c r="T55" s="189"/>
      <c r="U55" s="189"/>
      <c r="V55" s="189"/>
      <c r="W55" s="189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89"/>
      <c r="AI55" s="189"/>
      <c r="AJ55" s="189"/>
      <c r="AK55" s="189"/>
      <c r="AL55" s="189"/>
      <c r="AM55" s="189"/>
      <c r="AN55" s="189"/>
      <c r="AO55" s="189"/>
      <c r="AP55" s="189"/>
      <c r="AQ55" s="213"/>
    </row>
    <row r="56" spans="11:43" x14ac:dyDescent="0.3">
      <c r="K56" s="208" t="s">
        <v>333</v>
      </c>
      <c r="L56" s="204">
        <v>1.2</v>
      </c>
      <c r="M56" s="204">
        <v>1.4</v>
      </c>
      <c r="N56" s="204">
        <v>1.6</v>
      </c>
      <c r="O56" s="204">
        <v>1.8</v>
      </c>
      <c r="P56" s="204">
        <v>2</v>
      </c>
      <c r="Q56" s="204">
        <v>2.2000000000000002</v>
      </c>
      <c r="R56" s="204">
        <v>2.4000000000000004</v>
      </c>
      <c r="S56" s="204">
        <v>2.6</v>
      </c>
      <c r="T56" s="204">
        <v>2.8</v>
      </c>
      <c r="U56" s="204">
        <v>3</v>
      </c>
      <c r="V56" s="204">
        <v>3.2</v>
      </c>
      <c r="W56" s="204">
        <v>3.4000000000000004</v>
      </c>
      <c r="X56" s="204">
        <v>3.6000000000000005</v>
      </c>
      <c r="Y56" s="204">
        <v>3.8</v>
      </c>
      <c r="Z56" s="204">
        <v>4</v>
      </c>
      <c r="AA56" s="204">
        <v>4.2</v>
      </c>
      <c r="AB56" s="204">
        <v>4.4000000000000004</v>
      </c>
      <c r="AC56" s="204">
        <v>4.6000000000000005</v>
      </c>
      <c r="AD56" s="204">
        <v>4.8</v>
      </c>
      <c r="AE56" s="204">
        <v>5</v>
      </c>
      <c r="AF56" s="204">
        <v>5.2</v>
      </c>
      <c r="AG56" s="204">
        <v>5.4</v>
      </c>
      <c r="AH56" s="204">
        <v>5.6000000000000005</v>
      </c>
      <c r="AI56" s="204">
        <v>5.8000000000000007</v>
      </c>
      <c r="AJ56" s="204">
        <v>6.0000000000000009</v>
      </c>
      <c r="AK56" s="204">
        <v>6.2</v>
      </c>
      <c r="AL56" s="204">
        <v>6.4</v>
      </c>
      <c r="AM56" s="204">
        <v>6.6000000000000005</v>
      </c>
      <c r="AN56" s="204">
        <v>6.8000000000000007</v>
      </c>
      <c r="AO56" s="204">
        <v>7.0000000000000009</v>
      </c>
      <c r="AP56" s="204">
        <v>7.2</v>
      </c>
      <c r="AQ56" s="212">
        <v>7.4</v>
      </c>
    </row>
    <row r="57" spans="11:43" ht="15" thickBot="1" x14ac:dyDescent="0.35">
      <c r="K57" s="210" t="s">
        <v>81</v>
      </c>
      <c r="L57" s="206">
        <v>365373</v>
      </c>
      <c r="M57" s="206">
        <v>326226</v>
      </c>
      <c r="N57" s="206">
        <v>294656</v>
      </c>
      <c r="O57" s="206">
        <v>268657</v>
      </c>
      <c r="P57" s="206">
        <v>246874</v>
      </c>
      <c r="Q57" s="206">
        <v>228358</v>
      </c>
      <c r="R57" s="206">
        <v>212426</v>
      </c>
      <c r="S57" s="206">
        <v>198572</v>
      </c>
      <c r="T57" s="206">
        <v>186415</v>
      </c>
      <c r="U57" s="206">
        <v>176509</v>
      </c>
      <c r="V57" s="206">
        <v>166837</v>
      </c>
      <c r="W57" s="206">
        <v>158858</v>
      </c>
      <c r="X57" s="206">
        <v>151607</v>
      </c>
      <c r="Y57" s="206">
        <v>144989</v>
      </c>
      <c r="Z57" s="206">
        <v>138925</v>
      </c>
      <c r="AA57" s="206">
        <v>133348</v>
      </c>
      <c r="AB57" s="206">
        <v>128653</v>
      </c>
      <c r="AC57" s="206">
        <v>124277</v>
      </c>
      <c r="AD57" s="206">
        <v>120189</v>
      </c>
      <c r="AE57" s="206">
        <v>116361</v>
      </c>
      <c r="AF57" s="206">
        <v>112770</v>
      </c>
      <c r="AG57" s="206">
        <v>109722</v>
      </c>
      <c r="AH57" s="206">
        <v>106834</v>
      </c>
      <c r="AI57" s="206">
        <v>104095</v>
      </c>
      <c r="AJ57" s="206">
        <v>101493</v>
      </c>
      <c r="AK57" s="206">
        <v>99286</v>
      </c>
      <c r="AL57" s="206">
        <v>96916</v>
      </c>
      <c r="AM57" s="206">
        <v>94902</v>
      </c>
      <c r="AN57" s="206">
        <v>93207</v>
      </c>
      <c r="AO57" s="206">
        <v>91343</v>
      </c>
      <c r="AP57" s="206">
        <v>89552</v>
      </c>
      <c r="AQ57" s="214">
        <v>88468</v>
      </c>
    </row>
    <row r="58" spans="11:43" ht="15.6" thickTop="1" thickBot="1" x14ac:dyDescent="0.35"/>
    <row r="59" spans="11:43" ht="15" thickTop="1" x14ac:dyDescent="0.3">
      <c r="K59" s="207" t="s">
        <v>318</v>
      </c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  <c r="AE59" s="205"/>
      <c r="AF59" s="205"/>
      <c r="AG59" s="205"/>
      <c r="AH59" s="205"/>
      <c r="AI59" s="205"/>
      <c r="AJ59" s="205"/>
      <c r="AK59" s="205"/>
      <c r="AL59" s="205"/>
      <c r="AM59" s="205"/>
      <c r="AN59" s="205"/>
      <c r="AO59" s="205"/>
      <c r="AP59" s="205"/>
      <c r="AQ59" s="211"/>
    </row>
    <row r="60" spans="11:43" x14ac:dyDescent="0.3">
      <c r="K60" s="208" t="s">
        <v>333</v>
      </c>
      <c r="L60" s="204">
        <v>1.2</v>
      </c>
      <c r="M60" s="204">
        <v>1.4</v>
      </c>
      <c r="N60" s="204">
        <v>1.6</v>
      </c>
      <c r="O60" s="204">
        <v>1.8</v>
      </c>
      <c r="P60" s="204">
        <v>2</v>
      </c>
      <c r="Q60" s="204">
        <v>2.2000000000000002</v>
      </c>
      <c r="R60" s="204">
        <v>2.4000000000000004</v>
      </c>
      <c r="S60" s="204">
        <v>2.6</v>
      </c>
      <c r="T60" s="204">
        <v>2.8</v>
      </c>
      <c r="U60" s="204">
        <v>3</v>
      </c>
      <c r="V60" s="204">
        <v>3.2</v>
      </c>
      <c r="W60" s="204">
        <v>3.4000000000000004</v>
      </c>
      <c r="X60" s="204">
        <v>3.6000000000000005</v>
      </c>
      <c r="Y60" s="204">
        <v>3.8</v>
      </c>
      <c r="Z60" s="204">
        <v>4</v>
      </c>
      <c r="AA60" s="204">
        <v>4.2</v>
      </c>
      <c r="AB60" s="204">
        <v>4.4000000000000004</v>
      </c>
      <c r="AC60" s="204">
        <v>4.6000000000000005</v>
      </c>
      <c r="AD60" s="204">
        <v>4.8</v>
      </c>
      <c r="AE60" s="204">
        <v>5</v>
      </c>
      <c r="AF60" s="204">
        <v>5.2</v>
      </c>
      <c r="AG60" s="204">
        <v>5.4</v>
      </c>
      <c r="AH60" s="204">
        <v>5.6000000000000005</v>
      </c>
      <c r="AI60" s="204">
        <v>5.8000000000000007</v>
      </c>
      <c r="AJ60" s="204">
        <v>6.0000000000000009</v>
      </c>
      <c r="AK60" s="204">
        <v>6.2</v>
      </c>
      <c r="AL60" s="204">
        <v>6.4</v>
      </c>
      <c r="AM60" s="204">
        <v>6.6000000000000005</v>
      </c>
      <c r="AN60" s="204">
        <v>6.8000000000000007</v>
      </c>
      <c r="AO60" s="204">
        <v>7.0000000000000009</v>
      </c>
      <c r="AP60" s="204">
        <v>7.2</v>
      </c>
      <c r="AQ60" s="212">
        <v>7.4</v>
      </c>
    </row>
    <row r="61" spans="11:43" x14ac:dyDescent="0.3">
      <c r="K61" s="208" t="s">
        <v>81</v>
      </c>
      <c r="L61" s="217">
        <v>22681.17</v>
      </c>
      <c r="M61" s="217">
        <v>26115.74</v>
      </c>
      <c r="N61" s="217">
        <v>29539.93</v>
      </c>
      <c r="O61" s="217">
        <v>32949.85</v>
      </c>
      <c r="P61" s="217">
        <v>36345.64</v>
      </c>
      <c r="Q61" s="217">
        <v>39727.42</v>
      </c>
      <c r="R61" s="217">
        <v>43095.34</v>
      </c>
      <c r="S61" s="217">
        <v>46449.51</v>
      </c>
      <c r="T61" s="217">
        <v>49790.07</v>
      </c>
      <c r="U61" s="217">
        <v>53126.2</v>
      </c>
      <c r="V61" s="217">
        <v>56440.42</v>
      </c>
      <c r="W61" s="217">
        <v>59751.51</v>
      </c>
      <c r="X61" s="217">
        <v>63050.49</v>
      </c>
      <c r="Y61" s="204">
        <v>66337.48</v>
      </c>
      <c r="Z61" s="204">
        <v>69612.56</v>
      </c>
      <c r="AA61" s="204">
        <v>72875.839999999997</v>
      </c>
      <c r="AB61" s="204">
        <v>76140.070000000007</v>
      </c>
      <c r="AC61" s="204">
        <v>79393.67</v>
      </c>
      <c r="AD61" s="204">
        <v>82636.73</v>
      </c>
      <c r="AE61" s="204">
        <v>85869.32</v>
      </c>
      <c r="AF61" s="204">
        <v>89091.520000000004</v>
      </c>
      <c r="AG61" s="204">
        <v>92303.41</v>
      </c>
      <c r="AH61" s="204">
        <v>95536.2</v>
      </c>
      <c r="AI61" s="204">
        <v>98728.61</v>
      </c>
      <c r="AJ61" s="204">
        <v>101943.97</v>
      </c>
      <c r="AK61" s="204">
        <v>105134.17</v>
      </c>
      <c r="AL61" s="204">
        <v>108332.78</v>
      </c>
      <c r="AM61" s="204">
        <v>111523.33</v>
      </c>
      <c r="AN61" s="204">
        <v>114705.87</v>
      </c>
      <c r="AO61" s="204">
        <v>117880.43</v>
      </c>
      <c r="AP61" s="204">
        <v>121066.4</v>
      </c>
      <c r="AQ61" s="212">
        <v>124265.2</v>
      </c>
    </row>
    <row r="62" spans="11:43" x14ac:dyDescent="0.3">
      <c r="K62" s="209"/>
      <c r="L62" s="189"/>
      <c r="M62" s="189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89"/>
      <c r="AB62" s="189"/>
      <c r="AC62" s="189"/>
      <c r="AD62" s="189"/>
      <c r="AE62" s="189"/>
      <c r="AF62" s="189"/>
      <c r="AG62" s="189"/>
      <c r="AH62" s="189"/>
      <c r="AI62" s="189"/>
      <c r="AJ62" s="189"/>
      <c r="AK62" s="189"/>
      <c r="AL62" s="189"/>
      <c r="AM62" s="189"/>
      <c r="AN62" s="189"/>
      <c r="AO62" s="189"/>
      <c r="AP62" s="189"/>
      <c r="AQ62" s="213"/>
    </row>
    <row r="63" spans="11:43" x14ac:dyDescent="0.3">
      <c r="K63" s="208" t="s">
        <v>325</v>
      </c>
      <c r="L63" s="189"/>
      <c r="M63" s="189"/>
      <c r="N63" s="189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189"/>
      <c r="AI63" s="189"/>
      <c r="AJ63" s="189"/>
      <c r="AK63" s="189"/>
      <c r="AL63" s="189"/>
      <c r="AM63" s="189"/>
      <c r="AN63" s="189"/>
      <c r="AO63" s="189"/>
      <c r="AP63" s="189"/>
      <c r="AQ63" s="213"/>
    </row>
    <row r="64" spans="11:43" x14ac:dyDescent="0.3">
      <c r="K64" s="208" t="s">
        <v>335</v>
      </c>
      <c r="L64" s="204">
        <v>1.2</v>
      </c>
      <c r="M64" s="204">
        <v>1.4</v>
      </c>
      <c r="N64" s="204">
        <v>1.6</v>
      </c>
      <c r="O64" s="204">
        <v>1.8</v>
      </c>
      <c r="P64" s="204">
        <v>2</v>
      </c>
      <c r="Q64" s="204">
        <v>2.2000000000000002</v>
      </c>
      <c r="R64" s="204">
        <v>2.4000000000000004</v>
      </c>
      <c r="S64" s="204">
        <v>2.6</v>
      </c>
      <c r="T64" s="204">
        <v>2.8</v>
      </c>
      <c r="U64" s="204">
        <v>3</v>
      </c>
      <c r="V64" s="204">
        <v>3.2</v>
      </c>
      <c r="W64" s="204">
        <v>3.4000000000000004</v>
      </c>
      <c r="X64" s="204">
        <v>3.6000000000000005</v>
      </c>
      <c r="Y64" s="204">
        <v>3.8</v>
      </c>
      <c r="Z64" s="204">
        <v>4</v>
      </c>
      <c r="AA64" s="204">
        <v>4.2</v>
      </c>
      <c r="AB64" s="204">
        <v>4.4000000000000004</v>
      </c>
      <c r="AC64" s="204">
        <v>4.6000000000000005</v>
      </c>
      <c r="AD64" s="204">
        <v>4.8</v>
      </c>
      <c r="AE64" s="204">
        <v>5</v>
      </c>
      <c r="AF64" s="204">
        <v>5.2</v>
      </c>
      <c r="AG64" s="204">
        <v>5.4</v>
      </c>
      <c r="AH64" s="204">
        <v>5.6000000000000005</v>
      </c>
      <c r="AI64" s="204">
        <v>5.8000000000000007</v>
      </c>
      <c r="AJ64" s="204">
        <v>6.0000000000000009</v>
      </c>
      <c r="AK64" s="204">
        <v>6.2</v>
      </c>
      <c r="AL64" s="204">
        <v>6.4</v>
      </c>
      <c r="AM64" s="204">
        <v>6.6000000000000005</v>
      </c>
      <c r="AN64" s="204">
        <v>6.8000000000000007</v>
      </c>
      <c r="AO64" s="204">
        <v>7.0000000000000009</v>
      </c>
      <c r="AP64" s="204">
        <v>7.2</v>
      </c>
      <c r="AQ64" s="212">
        <v>7.4</v>
      </c>
    </row>
    <row r="65" spans="11:43" x14ac:dyDescent="0.3">
      <c r="K65" s="208" t="s">
        <v>81</v>
      </c>
      <c r="L65" s="204">
        <v>248229</v>
      </c>
      <c r="M65" s="204">
        <v>288796</v>
      </c>
      <c r="N65" s="204">
        <v>329004</v>
      </c>
      <c r="O65" s="204">
        <v>370034</v>
      </c>
      <c r="P65" s="204">
        <v>412036</v>
      </c>
      <c r="Q65" s="204">
        <v>454183</v>
      </c>
      <c r="R65" s="204">
        <v>496881</v>
      </c>
      <c r="S65" s="204">
        <v>540734</v>
      </c>
      <c r="T65" s="204">
        <v>583974</v>
      </c>
      <c r="U65" s="204">
        <v>627694</v>
      </c>
      <c r="V65" s="204">
        <v>673405</v>
      </c>
      <c r="W65" s="204">
        <v>718218</v>
      </c>
      <c r="X65" s="204">
        <v>763537</v>
      </c>
      <c r="Y65" s="204">
        <v>811219</v>
      </c>
      <c r="Z65" s="204">
        <v>857695</v>
      </c>
      <c r="AA65" s="204">
        <v>904708</v>
      </c>
      <c r="AB65" s="204">
        <v>953373</v>
      </c>
      <c r="AC65" s="204">
        <v>1000380</v>
      </c>
      <c r="AD65" s="204">
        <v>1049058</v>
      </c>
      <c r="AE65" s="204">
        <v>1099609</v>
      </c>
      <c r="AF65" s="204">
        <v>1148148</v>
      </c>
      <c r="AG65" s="204">
        <v>1198581</v>
      </c>
      <c r="AH65" s="204">
        <v>1249620</v>
      </c>
      <c r="AI65" s="204">
        <v>1299705</v>
      </c>
      <c r="AJ65" s="204">
        <v>1351916</v>
      </c>
      <c r="AK65" s="204">
        <v>1404766</v>
      </c>
      <c r="AL65" s="204">
        <v>1456475</v>
      </c>
      <c r="AM65" s="204">
        <v>1508694</v>
      </c>
      <c r="AN65" s="204">
        <v>1563371</v>
      </c>
      <c r="AO65" s="204">
        <v>1614695</v>
      </c>
      <c r="AP65" s="204">
        <v>1668493</v>
      </c>
      <c r="AQ65" s="212">
        <v>1725005</v>
      </c>
    </row>
    <row r="66" spans="11:43" x14ac:dyDescent="0.3">
      <c r="K66" s="209"/>
      <c r="L66" s="189"/>
      <c r="M66" s="189"/>
      <c r="N66" s="189"/>
      <c r="O66" s="189"/>
      <c r="P66" s="189"/>
      <c r="Q66" s="189"/>
      <c r="R66" s="189"/>
      <c r="S66" s="189"/>
      <c r="T66" s="189"/>
      <c r="U66" s="189"/>
      <c r="V66" s="189"/>
      <c r="W66" s="189"/>
      <c r="X66" s="189"/>
      <c r="Y66" s="189"/>
      <c r="Z66" s="189"/>
      <c r="AA66" s="189"/>
      <c r="AB66" s="189"/>
      <c r="AC66" s="189"/>
      <c r="AD66" s="189"/>
      <c r="AE66" s="189"/>
      <c r="AF66" s="189"/>
      <c r="AG66" s="189"/>
      <c r="AH66" s="189"/>
      <c r="AI66" s="189"/>
      <c r="AJ66" s="189"/>
      <c r="AK66" s="189"/>
      <c r="AL66" s="189"/>
      <c r="AM66" s="189"/>
      <c r="AN66" s="189"/>
      <c r="AO66" s="189"/>
      <c r="AP66" s="189"/>
      <c r="AQ66" s="213"/>
    </row>
    <row r="67" spans="11:43" x14ac:dyDescent="0.3">
      <c r="K67" s="208" t="s">
        <v>331</v>
      </c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189"/>
      <c r="AA67" s="189"/>
      <c r="AB67" s="189"/>
      <c r="AC67" s="189"/>
      <c r="AD67" s="189"/>
      <c r="AE67" s="189"/>
      <c r="AF67" s="189"/>
      <c r="AG67" s="189"/>
      <c r="AH67" s="189"/>
      <c r="AI67" s="189"/>
      <c r="AJ67" s="189"/>
      <c r="AK67" s="189"/>
      <c r="AL67" s="189"/>
      <c r="AM67" s="189"/>
      <c r="AN67" s="189"/>
      <c r="AO67" s="189"/>
      <c r="AP67" s="189"/>
      <c r="AQ67" s="213"/>
    </row>
    <row r="68" spans="11:43" x14ac:dyDescent="0.3">
      <c r="K68" s="208" t="s">
        <v>335</v>
      </c>
      <c r="L68" s="204">
        <v>0.5</v>
      </c>
      <c r="M68" s="204">
        <v>0.5</v>
      </c>
      <c r="N68" s="204">
        <v>0.5</v>
      </c>
      <c r="O68" s="204">
        <v>0.5</v>
      </c>
      <c r="P68" s="204">
        <v>0.5</v>
      </c>
      <c r="Q68" s="204">
        <v>0.5</v>
      </c>
      <c r="R68" s="204">
        <v>0.5</v>
      </c>
      <c r="S68" s="204">
        <v>0.5</v>
      </c>
      <c r="T68" s="204">
        <v>0.5</v>
      </c>
      <c r="U68" s="204">
        <v>0.5</v>
      </c>
      <c r="V68" s="204">
        <v>0.5</v>
      </c>
      <c r="W68" s="204">
        <v>0.5</v>
      </c>
      <c r="X68" s="204">
        <v>0.5</v>
      </c>
      <c r="Y68" s="204">
        <v>0.5</v>
      </c>
      <c r="Z68" s="204">
        <v>0.5</v>
      </c>
      <c r="AA68" s="204">
        <v>0.5</v>
      </c>
      <c r="AB68" s="204">
        <v>0.5</v>
      </c>
      <c r="AC68" s="204">
        <v>0.5</v>
      </c>
      <c r="AD68" s="204">
        <v>0.5</v>
      </c>
      <c r="AE68" s="204">
        <v>0.5</v>
      </c>
      <c r="AF68" s="204">
        <v>0.5</v>
      </c>
      <c r="AG68" s="204">
        <v>0.5</v>
      </c>
      <c r="AH68" s="204">
        <v>0.5</v>
      </c>
      <c r="AI68" s="204">
        <v>0.5</v>
      </c>
      <c r="AJ68" s="204">
        <v>0.5</v>
      </c>
      <c r="AK68" s="204">
        <v>0.5</v>
      </c>
      <c r="AL68" s="204">
        <v>0.5</v>
      </c>
      <c r="AM68" s="204">
        <v>0.5</v>
      </c>
      <c r="AN68" s="204">
        <v>0.5</v>
      </c>
      <c r="AO68" s="204">
        <v>0.5</v>
      </c>
      <c r="AP68" s="204">
        <v>0.5</v>
      </c>
      <c r="AQ68" s="212">
        <v>0.5</v>
      </c>
    </row>
    <row r="69" spans="11:43" x14ac:dyDescent="0.3">
      <c r="K69" s="208" t="s">
        <v>81</v>
      </c>
      <c r="L69" s="189">
        <v>65319</v>
      </c>
      <c r="M69" s="189">
        <v>65319</v>
      </c>
      <c r="N69" s="189">
        <v>65319</v>
      </c>
      <c r="O69" s="189">
        <v>65319</v>
      </c>
      <c r="P69" s="189">
        <v>65319</v>
      </c>
      <c r="Q69" s="189">
        <v>65319</v>
      </c>
      <c r="R69" s="189">
        <v>65319</v>
      </c>
      <c r="S69" s="189">
        <v>65319</v>
      </c>
      <c r="T69" s="189">
        <v>65319</v>
      </c>
      <c r="U69" s="189">
        <v>65319</v>
      </c>
      <c r="V69" s="189">
        <v>65319</v>
      </c>
      <c r="W69" s="189">
        <v>65319</v>
      </c>
      <c r="X69" s="189">
        <v>65319</v>
      </c>
      <c r="Y69" s="218">
        <v>65319</v>
      </c>
      <c r="Z69" s="218">
        <v>65319</v>
      </c>
      <c r="AA69" s="218">
        <v>65319</v>
      </c>
      <c r="AB69" s="218">
        <v>65319</v>
      </c>
      <c r="AC69" s="218">
        <v>65319</v>
      </c>
      <c r="AD69" s="218">
        <v>65319</v>
      </c>
      <c r="AE69" s="218">
        <v>65319</v>
      </c>
      <c r="AF69" s="218">
        <v>65319</v>
      </c>
      <c r="AG69" s="218">
        <v>65319</v>
      </c>
      <c r="AH69" s="218">
        <v>65319</v>
      </c>
      <c r="AI69" s="218">
        <v>65319</v>
      </c>
      <c r="AJ69" s="218">
        <v>65319</v>
      </c>
      <c r="AK69" s="218">
        <v>65319</v>
      </c>
      <c r="AL69" s="218">
        <v>65319</v>
      </c>
      <c r="AM69" s="218">
        <v>65319</v>
      </c>
      <c r="AN69" s="218">
        <v>65319</v>
      </c>
      <c r="AO69" s="218">
        <v>65319</v>
      </c>
      <c r="AP69" s="218">
        <v>65319</v>
      </c>
      <c r="AQ69" s="219">
        <v>65319</v>
      </c>
    </row>
    <row r="70" spans="11:43" x14ac:dyDescent="0.3">
      <c r="K70" s="209"/>
      <c r="L70" s="189"/>
      <c r="M70" s="189"/>
      <c r="N70" s="189"/>
      <c r="O70" s="189"/>
      <c r="P70" s="189"/>
      <c r="Q70" s="189"/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89"/>
      <c r="AF70" s="189"/>
      <c r="AG70" s="189"/>
      <c r="AH70" s="189"/>
      <c r="AI70" s="189"/>
      <c r="AJ70" s="189"/>
      <c r="AK70" s="189"/>
      <c r="AL70" s="189"/>
      <c r="AM70" s="189"/>
      <c r="AN70" s="189"/>
      <c r="AO70" s="189"/>
      <c r="AP70" s="189"/>
      <c r="AQ70" s="213"/>
    </row>
    <row r="71" spans="11:43" x14ac:dyDescent="0.3">
      <c r="K71" s="208" t="s">
        <v>320</v>
      </c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213"/>
    </row>
    <row r="72" spans="11:43" x14ac:dyDescent="0.3">
      <c r="K72" s="208" t="s">
        <v>333</v>
      </c>
      <c r="L72" s="204">
        <v>1.2</v>
      </c>
      <c r="M72" s="204">
        <v>1.4</v>
      </c>
      <c r="N72" s="204">
        <v>1.6</v>
      </c>
      <c r="O72" s="204">
        <v>1.8</v>
      </c>
      <c r="P72" s="204">
        <v>2</v>
      </c>
      <c r="Q72" s="204">
        <v>2.2000000000000002</v>
      </c>
      <c r="R72" s="204">
        <v>2.4000000000000004</v>
      </c>
      <c r="S72" s="204">
        <v>2.6</v>
      </c>
      <c r="T72" s="204">
        <v>2.8</v>
      </c>
      <c r="U72" s="204">
        <v>3</v>
      </c>
      <c r="V72" s="204">
        <v>3.2</v>
      </c>
      <c r="W72" s="204">
        <v>3.4000000000000004</v>
      </c>
      <c r="X72" s="204">
        <v>3.6000000000000005</v>
      </c>
      <c r="Y72" s="204">
        <v>3.8</v>
      </c>
      <c r="Z72" s="204">
        <v>4</v>
      </c>
      <c r="AA72" s="204">
        <v>4.2</v>
      </c>
      <c r="AB72" s="204">
        <v>4.4000000000000004</v>
      </c>
      <c r="AC72" s="204">
        <v>4.6000000000000005</v>
      </c>
      <c r="AD72" s="204">
        <v>4.8</v>
      </c>
      <c r="AE72" s="204">
        <v>5</v>
      </c>
      <c r="AF72" s="204">
        <v>5.2</v>
      </c>
      <c r="AG72" s="204">
        <v>5.4</v>
      </c>
      <c r="AH72" s="204">
        <v>5.6000000000000005</v>
      </c>
      <c r="AI72" s="204">
        <v>5.8000000000000007</v>
      </c>
      <c r="AJ72" s="204">
        <v>6.0000000000000009</v>
      </c>
      <c r="AK72" s="204">
        <v>6.2</v>
      </c>
      <c r="AL72" s="204">
        <v>6.4</v>
      </c>
      <c r="AM72" s="204">
        <v>6.6000000000000005</v>
      </c>
      <c r="AN72" s="204">
        <v>6.8000000000000007</v>
      </c>
      <c r="AO72" s="204">
        <v>7.0000000000000009</v>
      </c>
      <c r="AP72" s="204">
        <v>7.2</v>
      </c>
      <c r="AQ72" s="212">
        <v>7.4</v>
      </c>
    </row>
    <row r="73" spans="11:43" ht="15" thickBot="1" x14ac:dyDescent="0.35">
      <c r="K73" s="210" t="s">
        <v>81</v>
      </c>
      <c r="L73" s="206">
        <v>392875</v>
      </c>
      <c r="M73" s="206">
        <v>344692</v>
      </c>
      <c r="N73" s="206">
        <v>309638</v>
      </c>
      <c r="O73" s="206">
        <v>281056</v>
      </c>
      <c r="P73" s="206">
        <v>257305</v>
      </c>
      <c r="Q73" s="206">
        <v>237255</v>
      </c>
      <c r="R73" s="206">
        <v>220104</v>
      </c>
      <c r="S73" s="206">
        <v>205266</v>
      </c>
      <c r="T73" s="206">
        <v>192302</v>
      </c>
      <c r="U73" s="206">
        <v>181778</v>
      </c>
      <c r="V73" s="206">
        <v>171537</v>
      </c>
      <c r="W73" s="206">
        <v>163113</v>
      </c>
      <c r="X73" s="206">
        <v>155478</v>
      </c>
      <c r="Y73" s="206">
        <v>148526</v>
      </c>
      <c r="Z73" s="206">
        <v>142169</v>
      </c>
      <c r="AA73" s="206">
        <v>136333</v>
      </c>
      <c r="AB73" s="206">
        <v>131429</v>
      </c>
      <c r="AC73" s="206">
        <v>126866</v>
      </c>
      <c r="AD73" s="206">
        <v>122608</v>
      </c>
      <c r="AE73" s="206">
        <v>118628</v>
      </c>
      <c r="AF73" s="206">
        <v>114897</v>
      </c>
      <c r="AG73" s="206">
        <v>111394</v>
      </c>
      <c r="AH73" s="206">
        <v>108742</v>
      </c>
      <c r="AI73" s="206">
        <v>105599</v>
      </c>
      <c r="AJ73" s="206">
        <v>103213</v>
      </c>
      <c r="AK73" s="206">
        <v>100654</v>
      </c>
      <c r="AL73" s="206">
        <v>98483</v>
      </c>
      <c r="AM73" s="206">
        <v>96405</v>
      </c>
      <c r="AN73" s="206">
        <v>94412</v>
      </c>
      <c r="AO73" s="206">
        <v>92500</v>
      </c>
      <c r="AP73" s="206">
        <v>90889</v>
      </c>
      <c r="AQ73" s="214">
        <v>89552</v>
      </c>
    </row>
    <row r="74" spans="11:43" ht="15.6" thickTop="1" thickBot="1" x14ac:dyDescent="0.35"/>
    <row r="75" spans="11:43" ht="15" thickTop="1" x14ac:dyDescent="0.3">
      <c r="K75" s="207" t="s">
        <v>318</v>
      </c>
      <c r="L75" s="205"/>
      <c r="M75" s="205"/>
      <c r="N75" s="205"/>
      <c r="O75" s="205"/>
      <c r="P75" s="205"/>
      <c r="Q75" s="205"/>
      <c r="R75" s="205"/>
      <c r="S75" s="205"/>
      <c r="T75" s="205"/>
      <c r="U75" s="205"/>
      <c r="V75" s="205"/>
      <c r="W75" s="205"/>
      <c r="X75" s="205"/>
      <c r="Y75" s="205"/>
      <c r="Z75" s="205"/>
      <c r="AA75" s="205"/>
      <c r="AB75" s="205"/>
      <c r="AC75" s="205"/>
      <c r="AD75" s="205"/>
      <c r="AE75" s="205"/>
      <c r="AF75" s="205"/>
      <c r="AG75" s="205"/>
      <c r="AH75" s="205"/>
      <c r="AI75" s="205"/>
      <c r="AJ75" s="205"/>
      <c r="AK75" s="205"/>
      <c r="AL75" s="205"/>
      <c r="AM75" s="205"/>
      <c r="AN75" s="205"/>
      <c r="AO75" s="205"/>
      <c r="AP75" s="205"/>
      <c r="AQ75" s="211"/>
    </row>
    <row r="76" spans="11:43" x14ac:dyDescent="0.3">
      <c r="K76" s="208" t="s">
        <v>333</v>
      </c>
      <c r="L76" s="204">
        <v>1.2</v>
      </c>
      <c r="M76" s="204">
        <v>1.4</v>
      </c>
      <c r="N76" s="204">
        <v>1.6</v>
      </c>
      <c r="O76" s="204">
        <v>1.8</v>
      </c>
      <c r="P76" s="204">
        <v>2</v>
      </c>
      <c r="Q76" s="204">
        <v>2.2000000000000002</v>
      </c>
      <c r="R76" s="204">
        <v>2.4000000000000004</v>
      </c>
      <c r="S76" s="204">
        <v>2.6</v>
      </c>
      <c r="T76" s="204">
        <v>2.8</v>
      </c>
      <c r="U76" s="204">
        <v>3</v>
      </c>
      <c r="V76" s="204">
        <v>3.2</v>
      </c>
      <c r="W76" s="204">
        <v>3.4000000000000004</v>
      </c>
      <c r="X76" s="204">
        <v>3.6000000000000005</v>
      </c>
      <c r="Y76" s="204">
        <v>3.8</v>
      </c>
      <c r="Z76" s="204">
        <v>4</v>
      </c>
      <c r="AA76" s="204">
        <v>4.2</v>
      </c>
      <c r="AB76" s="204">
        <v>4.4000000000000004</v>
      </c>
      <c r="AC76" s="204">
        <v>4.6000000000000005</v>
      </c>
      <c r="AD76" s="204">
        <v>4.8</v>
      </c>
      <c r="AE76" s="204">
        <v>5</v>
      </c>
      <c r="AF76" s="204">
        <v>5.2</v>
      </c>
      <c r="AG76" s="204">
        <v>5.4</v>
      </c>
      <c r="AH76" s="204">
        <v>5.6000000000000005</v>
      </c>
      <c r="AI76" s="204">
        <v>5.8000000000000007</v>
      </c>
      <c r="AJ76" s="204">
        <v>6.0000000000000009</v>
      </c>
      <c r="AK76" s="204">
        <v>6.2</v>
      </c>
      <c r="AL76" s="204">
        <v>6.4</v>
      </c>
      <c r="AM76" s="204">
        <v>6.6000000000000005</v>
      </c>
      <c r="AN76" s="204">
        <v>6.8000000000000007</v>
      </c>
      <c r="AO76" s="204">
        <v>7.0000000000000009</v>
      </c>
      <c r="AP76" s="204">
        <v>7.2</v>
      </c>
      <c r="AQ76" s="212">
        <v>7.4</v>
      </c>
    </row>
    <row r="77" spans="11:43" x14ac:dyDescent="0.3">
      <c r="K77" s="208" t="s">
        <v>81</v>
      </c>
      <c r="L77" s="217">
        <v>22705.31</v>
      </c>
      <c r="M77" s="217">
        <v>26143.41</v>
      </c>
      <c r="N77" s="217">
        <v>29571.1</v>
      </c>
      <c r="O77" s="217">
        <v>32984.47</v>
      </c>
      <c r="P77" s="217">
        <v>36383.660000000003</v>
      </c>
      <c r="Q77" s="217">
        <v>39768.81</v>
      </c>
      <c r="R77" s="217">
        <v>43140.05</v>
      </c>
      <c r="S77" s="217">
        <v>46497.5</v>
      </c>
      <c r="T77" s="217">
        <v>49841.3</v>
      </c>
      <c r="U77" s="217">
        <v>53180.66</v>
      </c>
      <c r="V77" s="217">
        <v>56498.04</v>
      </c>
      <c r="W77" s="217">
        <v>59812.28</v>
      </c>
      <c r="X77" s="217">
        <v>63114.38</v>
      </c>
      <c r="Y77" s="217">
        <v>66404.45</v>
      </c>
      <c r="Z77" s="217">
        <v>69682.58</v>
      </c>
      <c r="AA77" s="217">
        <v>72948.88</v>
      </c>
      <c r="AB77" s="217">
        <v>76216.12</v>
      </c>
      <c r="AC77" s="204">
        <v>79472.710000000006</v>
      </c>
      <c r="AD77" s="204">
        <v>82705.039999999994</v>
      </c>
      <c r="AE77" s="204">
        <v>85954.240000000005</v>
      </c>
      <c r="AF77" s="204">
        <v>89179.34</v>
      </c>
      <c r="AG77" s="204">
        <v>92394.1</v>
      </c>
      <c r="AH77" s="204">
        <v>95614.19</v>
      </c>
      <c r="AI77" s="204">
        <v>98825.05</v>
      </c>
      <c r="AJ77" s="204">
        <v>102026.71</v>
      </c>
      <c r="AK77" s="204">
        <v>105236.29</v>
      </c>
      <c r="AL77" s="204">
        <v>108420.22</v>
      </c>
      <c r="AM77" s="204">
        <v>111613.12</v>
      </c>
      <c r="AN77" s="204">
        <v>114816.43</v>
      </c>
      <c r="AO77" s="204">
        <v>117993.76</v>
      </c>
      <c r="AP77" s="204">
        <v>121163.15</v>
      </c>
      <c r="AQ77" s="212">
        <v>124364.32</v>
      </c>
    </row>
    <row r="78" spans="11:43" x14ac:dyDescent="0.3">
      <c r="K78" s="20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189"/>
      <c r="Z78" s="189"/>
      <c r="AA78" s="189"/>
      <c r="AB78" s="189"/>
      <c r="AC78" s="189"/>
      <c r="AD78" s="189"/>
      <c r="AE78" s="189"/>
      <c r="AF78" s="189"/>
      <c r="AG78" s="189"/>
      <c r="AH78" s="189"/>
      <c r="AI78" s="189"/>
      <c r="AJ78" s="189"/>
      <c r="AK78" s="189"/>
      <c r="AL78" s="189"/>
      <c r="AM78" s="189"/>
      <c r="AN78" s="189"/>
      <c r="AO78" s="189"/>
      <c r="AP78" s="189"/>
      <c r="AQ78" s="213"/>
    </row>
    <row r="79" spans="11:43" x14ac:dyDescent="0.3">
      <c r="K79" s="208" t="s">
        <v>325</v>
      </c>
      <c r="L79" s="189"/>
      <c r="M79" s="189"/>
      <c r="N79" s="189"/>
      <c r="O79" s="189"/>
      <c r="P79" s="189"/>
      <c r="Q79" s="189"/>
      <c r="R79" s="189"/>
      <c r="S79" s="189"/>
      <c r="T79" s="189"/>
      <c r="U79" s="189"/>
      <c r="V79" s="189"/>
      <c r="W79" s="189"/>
      <c r="X79" s="189"/>
      <c r="Y79" s="189"/>
      <c r="Z79" s="189"/>
      <c r="AA79" s="189"/>
      <c r="AB79" s="189"/>
      <c r="AC79" s="189"/>
      <c r="AD79" s="189"/>
      <c r="AE79" s="189"/>
      <c r="AF79" s="189"/>
      <c r="AG79" s="189"/>
      <c r="AH79" s="189"/>
      <c r="AI79" s="189"/>
      <c r="AJ79" s="189"/>
      <c r="AK79" s="189"/>
      <c r="AL79" s="189"/>
      <c r="AM79" s="189"/>
      <c r="AN79" s="189"/>
      <c r="AO79" s="189"/>
      <c r="AP79" s="189"/>
      <c r="AQ79" s="213"/>
    </row>
    <row r="80" spans="11:43" x14ac:dyDescent="0.3">
      <c r="K80" s="208" t="s">
        <v>335</v>
      </c>
      <c r="L80" s="204">
        <v>1.2</v>
      </c>
      <c r="M80" s="204">
        <v>1.4</v>
      </c>
      <c r="N80" s="204">
        <v>1.6</v>
      </c>
      <c r="O80" s="204">
        <v>1.8</v>
      </c>
      <c r="P80" s="204">
        <v>2</v>
      </c>
      <c r="Q80" s="204">
        <v>2.2000000000000002</v>
      </c>
      <c r="R80" s="204">
        <v>2.4000000000000004</v>
      </c>
      <c r="S80" s="204">
        <v>2.6</v>
      </c>
      <c r="T80" s="204">
        <v>2.8</v>
      </c>
      <c r="U80" s="204">
        <v>3</v>
      </c>
      <c r="V80" s="204">
        <v>3.2</v>
      </c>
      <c r="W80" s="204">
        <v>3.4000000000000004</v>
      </c>
      <c r="X80" s="204">
        <v>3.6000000000000005</v>
      </c>
      <c r="Y80" s="204">
        <v>3.8</v>
      </c>
      <c r="Z80" s="204">
        <v>4</v>
      </c>
      <c r="AA80" s="204">
        <v>4.2</v>
      </c>
      <c r="AB80" s="204">
        <v>4.4000000000000004</v>
      </c>
      <c r="AC80" s="204">
        <v>4.6000000000000005</v>
      </c>
      <c r="AD80" s="204">
        <v>4.8</v>
      </c>
      <c r="AE80" s="204">
        <v>5</v>
      </c>
      <c r="AF80" s="204">
        <v>5.2</v>
      </c>
      <c r="AG80" s="204">
        <v>5.4</v>
      </c>
      <c r="AH80" s="204">
        <v>5.6000000000000005</v>
      </c>
      <c r="AI80" s="204">
        <v>5.8000000000000007</v>
      </c>
      <c r="AJ80" s="204">
        <v>6.0000000000000009</v>
      </c>
      <c r="AK80" s="204">
        <v>6.2</v>
      </c>
      <c r="AL80" s="204">
        <v>6.4</v>
      </c>
      <c r="AM80" s="204">
        <v>6.6000000000000005</v>
      </c>
      <c r="AN80" s="204">
        <v>6.8000000000000007</v>
      </c>
      <c r="AO80" s="204">
        <v>7.0000000000000009</v>
      </c>
      <c r="AP80" s="204">
        <v>7.2</v>
      </c>
      <c r="AQ80" s="212">
        <v>7.4</v>
      </c>
    </row>
    <row r="81" spans="11:43" x14ac:dyDescent="0.3">
      <c r="K81" s="208" t="s">
        <v>81</v>
      </c>
      <c r="L81" s="204">
        <v>248229</v>
      </c>
      <c r="M81" s="204">
        <v>288796</v>
      </c>
      <c r="N81" s="204">
        <v>329004</v>
      </c>
      <c r="O81" s="204">
        <v>370034</v>
      </c>
      <c r="P81" s="204">
        <v>412036</v>
      </c>
      <c r="Q81" s="204">
        <v>454183</v>
      </c>
      <c r="R81" s="204">
        <v>496881</v>
      </c>
      <c r="S81" s="204">
        <v>540734</v>
      </c>
      <c r="T81" s="204">
        <v>583974</v>
      </c>
      <c r="U81" s="204">
        <v>627694</v>
      </c>
      <c r="V81" s="204">
        <v>673405</v>
      </c>
      <c r="W81" s="204">
        <v>718218</v>
      </c>
      <c r="X81" s="204">
        <v>763537</v>
      </c>
      <c r="Y81" s="204">
        <v>811219</v>
      </c>
      <c r="Z81" s="204">
        <v>857695</v>
      </c>
      <c r="AA81" s="204">
        <v>904708</v>
      </c>
      <c r="AB81" s="204">
        <v>953373</v>
      </c>
      <c r="AC81" s="204">
        <v>1000380</v>
      </c>
      <c r="AD81" s="204">
        <v>1049058</v>
      </c>
      <c r="AE81" s="204">
        <v>1099609</v>
      </c>
      <c r="AF81" s="204">
        <v>1148148</v>
      </c>
      <c r="AG81" s="204">
        <v>1198581</v>
      </c>
      <c r="AH81" s="204">
        <v>1249620</v>
      </c>
      <c r="AI81" s="204">
        <v>1299705</v>
      </c>
      <c r="AJ81" s="204">
        <v>1351916</v>
      </c>
      <c r="AK81" s="204">
        <v>1404766</v>
      </c>
      <c r="AL81" s="204">
        <v>1456475</v>
      </c>
      <c r="AM81" s="204">
        <v>1508694</v>
      </c>
      <c r="AN81" s="204">
        <v>1563371</v>
      </c>
      <c r="AO81" s="204">
        <v>1614695</v>
      </c>
      <c r="AP81" s="204">
        <v>1668493</v>
      </c>
      <c r="AQ81" s="212">
        <v>1725005</v>
      </c>
    </row>
    <row r="82" spans="11:43" x14ac:dyDescent="0.3">
      <c r="K82" s="209"/>
      <c r="L82" s="189"/>
      <c r="M82" s="189"/>
      <c r="N82" s="189"/>
      <c r="O82" s="189"/>
      <c r="P82" s="189"/>
      <c r="Q82" s="189"/>
      <c r="R82" s="189"/>
      <c r="S82" s="189"/>
      <c r="T82" s="189"/>
      <c r="U82" s="189"/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  <c r="AI82" s="189"/>
      <c r="AJ82" s="189"/>
      <c r="AK82" s="189"/>
      <c r="AL82" s="189"/>
      <c r="AM82" s="189"/>
      <c r="AN82" s="189"/>
      <c r="AO82" s="189"/>
      <c r="AP82" s="189"/>
      <c r="AQ82" s="213"/>
    </row>
    <row r="83" spans="11:43" x14ac:dyDescent="0.3">
      <c r="K83" s="208" t="s">
        <v>331</v>
      </c>
      <c r="L83" s="189"/>
      <c r="M83" s="189"/>
      <c r="N83" s="189"/>
      <c r="O83" s="189"/>
      <c r="P83" s="189"/>
      <c r="Q83" s="189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  <c r="AI83" s="189"/>
      <c r="AJ83" s="189"/>
      <c r="AK83" s="189"/>
      <c r="AL83" s="189"/>
      <c r="AM83" s="189"/>
      <c r="AN83" s="189"/>
      <c r="AO83" s="189"/>
      <c r="AP83" s="189"/>
      <c r="AQ83" s="213"/>
    </row>
    <row r="84" spans="11:43" x14ac:dyDescent="0.3">
      <c r="K84" s="208" t="s">
        <v>335</v>
      </c>
      <c r="L84" s="204">
        <v>0.60000000000000009</v>
      </c>
      <c r="M84" s="204">
        <v>0.60000000000000009</v>
      </c>
      <c r="N84" s="204">
        <v>0.60000000000000009</v>
      </c>
      <c r="O84" s="204">
        <v>0.60000000000000009</v>
      </c>
      <c r="P84" s="204">
        <v>0.60000000000000009</v>
      </c>
      <c r="Q84" s="204">
        <v>0.60000000000000009</v>
      </c>
      <c r="R84" s="204">
        <v>0.60000000000000009</v>
      </c>
      <c r="S84" s="204">
        <v>0.60000000000000009</v>
      </c>
      <c r="T84" s="204">
        <v>0.60000000000000009</v>
      </c>
      <c r="U84" s="204">
        <v>0.60000000000000009</v>
      </c>
      <c r="V84" s="204">
        <v>0.60000000000000009</v>
      </c>
      <c r="W84" s="204">
        <v>0.60000000000000009</v>
      </c>
      <c r="X84" s="204">
        <v>0.60000000000000009</v>
      </c>
      <c r="Y84" s="204">
        <v>0.60000000000000009</v>
      </c>
      <c r="Z84" s="204">
        <v>0.60000000000000009</v>
      </c>
      <c r="AA84" s="204">
        <v>0.60000000000000009</v>
      </c>
      <c r="AB84" s="204">
        <v>0.60000000000000009</v>
      </c>
      <c r="AC84" s="204">
        <v>0.60000000000000009</v>
      </c>
      <c r="AD84" s="204">
        <v>0.60000000000000009</v>
      </c>
      <c r="AE84" s="204">
        <v>0.60000000000000009</v>
      </c>
      <c r="AF84" s="204">
        <v>0.60000000000000009</v>
      </c>
      <c r="AG84" s="204">
        <v>0.60000000000000009</v>
      </c>
      <c r="AH84" s="204">
        <v>0.60000000000000009</v>
      </c>
      <c r="AI84" s="204">
        <v>0.60000000000000009</v>
      </c>
      <c r="AJ84" s="204">
        <v>0.60000000000000009</v>
      </c>
      <c r="AK84" s="204">
        <v>0.60000000000000009</v>
      </c>
      <c r="AL84" s="204">
        <v>0.60000000000000009</v>
      </c>
      <c r="AM84" s="204">
        <v>0.60000000000000009</v>
      </c>
      <c r="AN84" s="204">
        <v>0.60000000000000009</v>
      </c>
      <c r="AO84" s="204">
        <v>0.60000000000000009</v>
      </c>
      <c r="AP84" s="204">
        <v>0.60000000000000009</v>
      </c>
      <c r="AQ84" s="212">
        <v>0.60000000000000009</v>
      </c>
    </row>
    <row r="85" spans="11:43" x14ac:dyDescent="0.3">
      <c r="K85" s="208" t="s">
        <v>81</v>
      </c>
      <c r="L85" s="189">
        <v>76416</v>
      </c>
      <c r="M85" s="189">
        <v>76416</v>
      </c>
      <c r="N85" s="189">
        <v>76416</v>
      </c>
      <c r="O85" s="189">
        <v>76416</v>
      </c>
      <c r="P85" s="189">
        <v>76416</v>
      </c>
      <c r="Q85" s="189">
        <v>76416</v>
      </c>
      <c r="R85" s="189">
        <v>76416</v>
      </c>
      <c r="S85" s="189">
        <v>76416</v>
      </c>
      <c r="T85" s="189">
        <v>76416</v>
      </c>
      <c r="U85" s="189">
        <v>76416</v>
      </c>
      <c r="V85" s="189">
        <v>76416</v>
      </c>
      <c r="W85" s="189">
        <v>76416</v>
      </c>
      <c r="X85" s="189">
        <v>76416</v>
      </c>
      <c r="Y85" s="189">
        <v>76416</v>
      </c>
      <c r="Z85" s="189">
        <v>76416</v>
      </c>
      <c r="AA85" s="189">
        <v>76416</v>
      </c>
      <c r="AB85" s="189">
        <v>76416</v>
      </c>
      <c r="AC85" s="218">
        <v>76416</v>
      </c>
      <c r="AD85" s="218">
        <v>76416</v>
      </c>
      <c r="AE85" s="218">
        <v>76416</v>
      </c>
      <c r="AF85" s="218">
        <v>76416</v>
      </c>
      <c r="AG85" s="218">
        <v>76416</v>
      </c>
      <c r="AH85" s="218">
        <v>76416</v>
      </c>
      <c r="AI85" s="218">
        <v>76416</v>
      </c>
      <c r="AJ85" s="218">
        <v>76416</v>
      </c>
      <c r="AK85" s="218">
        <v>76416</v>
      </c>
      <c r="AL85" s="218">
        <v>76416</v>
      </c>
      <c r="AM85" s="218">
        <v>76416</v>
      </c>
      <c r="AN85" s="218">
        <v>76416</v>
      </c>
      <c r="AO85" s="218">
        <v>76416</v>
      </c>
      <c r="AP85" s="218">
        <v>76416</v>
      </c>
      <c r="AQ85" s="219">
        <v>76416</v>
      </c>
    </row>
    <row r="86" spans="11:43" x14ac:dyDescent="0.3">
      <c r="K86" s="20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189"/>
      <c r="AA86" s="189"/>
      <c r="AB86" s="189"/>
      <c r="AC86" s="189"/>
      <c r="AD86" s="189"/>
      <c r="AE86" s="189"/>
      <c r="AF86" s="189"/>
      <c r="AG86" s="189"/>
      <c r="AH86" s="189"/>
      <c r="AI86" s="189"/>
      <c r="AJ86" s="189"/>
      <c r="AK86" s="189"/>
      <c r="AL86" s="189"/>
      <c r="AM86" s="189"/>
      <c r="AN86" s="189"/>
      <c r="AO86" s="189"/>
      <c r="AP86" s="189"/>
      <c r="AQ86" s="213"/>
    </row>
    <row r="87" spans="11:43" x14ac:dyDescent="0.3">
      <c r="K87" s="208" t="s">
        <v>320</v>
      </c>
      <c r="L87" s="189"/>
      <c r="M87" s="189"/>
      <c r="N87" s="189"/>
      <c r="O87" s="189"/>
      <c r="P87" s="189"/>
      <c r="Q87" s="189"/>
      <c r="R87" s="189"/>
      <c r="S87" s="189"/>
      <c r="T87" s="189"/>
      <c r="U87" s="189"/>
      <c r="V87" s="189"/>
      <c r="W87" s="189"/>
      <c r="X87" s="189"/>
      <c r="Y87" s="189"/>
      <c r="Z87" s="189"/>
      <c r="AA87" s="189"/>
      <c r="AB87" s="189"/>
      <c r="AC87" s="189"/>
      <c r="AD87" s="189"/>
      <c r="AE87" s="189"/>
      <c r="AF87" s="189"/>
      <c r="AG87" s="189"/>
      <c r="AH87" s="189"/>
      <c r="AI87" s="189"/>
      <c r="AJ87" s="189"/>
      <c r="AK87" s="189"/>
      <c r="AL87" s="189"/>
      <c r="AM87" s="189"/>
      <c r="AN87" s="189"/>
      <c r="AO87" s="189"/>
      <c r="AP87" s="189"/>
      <c r="AQ87" s="213"/>
    </row>
    <row r="88" spans="11:43" x14ac:dyDescent="0.3">
      <c r="K88" s="208" t="s">
        <v>333</v>
      </c>
      <c r="L88" s="204">
        <v>1.2</v>
      </c>
      <c r="M88" s="204">
        <v>1.4</v>
      </c>
      <c r="N88" s="204">
        <v>1.6</v>
      </c>
      <c r="O88" s="204">
        <v>1.8</v>
      </c>
      <c r="P88" s="204">
        <v>2</v>
      </c>
      <c r="Q88" s="204">
        <v>2.2000000000000002</v>
      </c>
      <c r="R88" s="204">
        <v>2.4000000000000004</v>
      </c>
      <c r="S88" s="204">
        <v>2.6</v>
      </c>
      <c r="T88" s="204">
        <v>2.8</v>
      </c>
      <c r="U88" s="204">
        <v>3</v>
      </c>
      <c r="V88" s="204">
        <v>3.2</v>
      </c>
      <c r="W88" s="204">
        <v>3.4000000000000004</v>
      </c>
      <c r="X88" s="204">
        <v>3.6000000000000005</v>
      </c>
      <c r="Y88" s="204">
        <v>3.8</v>
      </c>
      <c r="Z88" s="204">
        <v>4</v>
      </c>
      <c r="AA88" s="204">
        <v>4.2</v>
      </c>
      <c r="AB88" s="204">
        <v>4.4000000000000004</v>
      </c>
      <c r="AC88" s="204">
        <v>4.6000000000000005</v>
      </c>
      <c r="AD88" s="204">
        <v>4.8</v>
      </c>
      <c r="AE88" s="204">
        <v>5</v>
      </c>
      <c r="AF88" s="204">
        <v>5.2</v>
      </c>
      <c r="AG88" s="204">
        <v>5.4</v>
      </c>
      <c r="AH88" s="204">
        <v>5.6000000000000005</v>
      </c>
      <c r="AI88" s="204">
        <v>5.8000000000000007</v>
      </c>
      <c r="AJ88" s="204">
        <v>6.0000000000000009</v>
      </c>
      <c r="AK88" s="204">
        <v>6.2</v>
      </c>
      <c r="AL88" s="204">
        <v>6.4</v>
      </c>
      <c r="AM88" s="204">
        <v>6.6000000000000005</v>
      </c>
      <c r="AN88" s="204">
        <v>6.8000000000000007</v>
      </c>
      <c r="AO88" s="204">
        <v>7.0000000000000009</v>
      </c>
      <c r="AP88" s="204">
        <v>7.2</v>
      </c>
      <c r="AQ88" s="212">
        <v>7.4</v>
      </c>
    </row>
    <row r="89" spans="11:43" ht="15" thickBot="1" x14ac:dyDescent="0.35">
      <c r="K89" s="210" t="s">
        <v>81</v>
      </c>
      <c r="L89" s="206">
        <v>417603</v>
      </c>
      <c r="M89" s="206">
        <v>363315</v>
      </c>
      <c r="N89" s="206">
        <v>324388</v>
      </c>
      <c r="O89" s="206">
        <v>292996</v>
      </c>
      <c r="P89" s="206">
        <v>267143</v>
      </c>
      <c r="Q89" s="206">
        <v>245483</v>
      </c>
      <c r="R89" s="206">
        <v>227072</v>
      </c>
      <c r="S89" s="206">
        <v>211230</v>
      </c>
      <c r="T89" s="206">
        <v>197454</v>
      </c>
      <c r="U89" s="206">
        <v>186315</v>
      </c>
      <c r="V89" s="206">
        <v>175514</v>
      </c>
      <c r="W89" s="206">
        <v>166658</v>
      </c>
      <c r="X89" s="206">
        <v>158653</v>
      </c>
      <c r="Y89" s="206">
        <v>151381</v>
      </c>
      <c r="Z89" s="206">
        <v>144747</v>
      </c>
      <c r="AA89" s="206">
        <v>138670</v>
      </c>
      <c r="AB89" s="206">
        <v>133572</v>
      </c>
      <c r="AC89" s="206">
        <v>128835</v>
      </c>
      <c r="AD89" s="206">
        <v>123998</v>
      </c>
      <c r="AE89" s="206">
        <v>120303</v>
      </c>
      <c r="AF89" s="206">
        <v>116447</v>
      </c>
      <c r="AG89" s="206">
        <v>112831</v>
      </c>
      <c r="AH89" s="206">
        <v>109763</v>
      </c>
      <c r="AI89" s="206">
        <v>106857</v>
      </c>
      <c r="AJ89" s="206">
        <v>104102</v>
      </c>
      <c r="AK89" s="206">
        <v>101769</v>
      </c>
      <c r="AL89" s="206">
        <v>99266</v>
      </c>
      <c r="AM89" s="206">
        <v>97143</v>
      </c>
      <c r="AN89" s="206">
        <v>95358</v>
      </c>
      <c r="AO89" s="206">
        <v>93397</v>
      </c>
      <c r="AP89" s="206">
        <v>91515</v>
      </c>
      <c r="AQ89" s="214">
        <v>90153</v>
      </c>
    </row>
    <row r="90" spans="11:43" ht="15.6" thickTop="1" thickBot="1" x14ac:dyDescent="0.35"/>
    <row r="91" spans="11:43" ht="15" thickTop="1" x14ac:dyDescent="0.3">
      <c r="K91" s="207" t="s">
        <v>318</v>
      </c>
      <c r="L91" s="205"/>
      <c r="M91" s="205"/>
      <c r="N91" s="205"/>
      <c r="O91" s="205"/>
      <c r="P91" s="205"/>
      <c r="Q91" s="205"/>
      <c r="R91" s="205"/>
      <c r="S91" s="205"/>
      <c r="T91" s="205"/>
      <c r="U91" s="205"/>
      <c r="V91" s="205"/>
      <c r="W91" s="205"/>
      <c r="X91" s="205"/>
      <c r="Y91" s="205"/>
      <c r="Z91" s="205"/>
      <c r="AA91" s="205"/>
      <c r="AB91" s="205"/>
      <c r="AC91" s="205"/>
      <c r="AD91" s="205"/>
      <c r="AE91" s="205"/>
      <c r="AF91" s="205"/>
      <c r="AG91" s="205"/>
      <c r="AH91" s="205"/>
      <c r="AI91" s="205"/>
      <c r="AJ91" s="205"/>
      <c r="AK91" s="205"/>
      <c r="AL91" s="205"/>
      <c r="AM91" s="205"/>
      <c r="AN91" s="205"/>
      <c r="AO91" s="205"/>
      <c r="AP91" s="205"/>
      <c r="AQ91" s="211"/>
    </row>
    <row r="92" spans="11:43" x14ac:dyDescent="0.3">
      <c r="K92" s="208" t="s">
        <v>333</v>
      </c>
      <c r="L92" s="204">
        <v>1.2</v>
      </c>
      <c r="M92" s="204">
        <v>1.4</v>
      </c>
      <c r="N92" s="204">
        <v>1.6</v>
      </c>
      <c r="O92" s="204">
        <v>1.8</v>
      </c>
      <c r="P92" s="204">
        <v>2</v>
      </c>
      <c r="Q92" s="204">
        <v>2.2000000000000002</v>
      </c>
      <c r="R92" s="204">
        <v>2.4000000000000004</v>
      </c>
      <c r="S92" s="204">
        <v>2.6</v>
      </c>
      <c r="T92" s="204">
        <v>2.8</v>
      </c>
      <c r="U92" s="204">
        <v>3</v>
      </c>
      <c r="V92" s="204">
        <v>3.2</v>
      </c>
      <c r="W92" s="204">
        <v>3.4000000000000004</v>
      </c>
      <c r="X92" s="204">
        <v>3.6000000000000005</v>
      </c>
      <c r="Y92" s="204">
        <v>3.8</v>
      </c>
      <c r="Z92" s="204">
        <v>4</v>
      </c>
      <c r="AA92" s="204">
        <v>4.2</v>
      </c>
      <c r="AB92" s="204">
        <v>4.4000000000000004</v>
      </c>
      <c r="AC92" s="204">
        <v>4.6000000000000005</v>
      </c>
      <c r="AD92" s="204">
        <v>4.8</v>
      </c>
      <c r="AE92" s="204">
        <v>5</v>
      </c>
      <c r="AF92" s="204">
        <v>5.2</v>
      </c>
      <c r="AG92" s="204">
        <v>5.4</v>
      </c>
      <c r="AH92" s="204">
        <v>5.6000000000000005</v>
      </c>
      <c r="AI92" s="204">
        <v>5.8000000000000007</v>
      </c>
      <c r="AJ92" s="204">
        <v>6.0000000000000009</v>
      </c>
      <c r="AK92" s="204">
        <v>6.2</v>
      </c>
      <c r="AL92" s="204">
        <v>6.4</v>
      </c>
      <c r="AM92" s="204">
        <v>6.6000000000000005</v>
      </c>
      <c r="AN92" s="204">
        <v>6.8000000000000007</v>
      </c>
      <c r="AO92" s="204">
        <v>7.0000000000000009</v>
      </c>
      <c r="AP92" s="204">
        <v>7.2</v>
      </c>
      <c r="AQ92" s="212">
        <v>7.4</v>
      </c>
    </row>
    <row r="93" spans="11:43" x14ac:dyDescent="0.3">
      <c r="K93" s="208" t="s">
        <v>81</v>
      </c>
      <c r="L93" s="217">
        <v>21307.59</v>
      </c>
      <c r="M93" s="217">
        <v>26175.81</v>
      </c>
      <c r="N93" s="217">
        <v>29602.36</v>
      </c>
      <c r="O93" s="217">
        <v>33019.19</v>
      </c>
      <c r="P93" s="217">
        <v>36421.81</v>
      </c>
      <c r="Q93" s="217">
        <v>39810.33</v>
      </c>
      <c r="R93" s="217">
        <v>43184.9</v>
      </c>
      <c r="S93" s="217">
        <v>46545.65</v>
      </c>
      <c r="T93" s="217">
        <v>49892.69</v>
      </c>
      <c r="U93" s="217">
        <v>53235.28</v>
      </c>
      <c r="V93" s="217">
        <v>56555.839999999997</v>
      </c>
      <c r="W93" s="217">
        <v>59873.24</v>
      </c>
      <c r="X93" s="217">
        <v>63178.47</v>
      </c>
      <c r="Y93" s="217">
        <v>66471.63</v>
      </c>
      <c r="Z93" s="217">
        <v>69752.820000000007</v>
      </c>
      <c r="AA93" s="217">
        <v>73022.13</v>
      </c>
      <c r="AB93" s="217">
        <v>76292.399999999994</v>
      </c>
      <c r="AC93" s="217">
        <v>79538.759999999995</v>
      </c>
      <c r="AD93" s="217">
        <v>82787.240000000005</v>
      </c>
      <c r="AE93" s="217">
        <v>86039.42</v>
      </c>
      <c r="AF93" s="204">
        <v>89267.42</v>
      </c>
      <c r="AG93" s="204">
        <v>92485.05</v>
      </c>
      <c r="AH93" s="204">
        <v>95708.04</v>
      </c>
      <c r="AI93" s="204">
        <v>98921.76</v>
      </c>
      <c r="AJ93" s="204">
        <v>102126.26</v>
      </c>
      <c r="AK93" s="204">
        <v>105321.62</v>
      </c>
      <c r="AL93" s="204">
        <v>108525.43</v>
      </c>
      <c r="AM93" s="204">
        <v>111703.12</v>
      </c>
      <c r="AN93" s="204">
        <v>114908.8</v>
      </c>
      <c r="AO93" s="204">
        <v>118088.45</v>
      </c>
      <c r="AP93" s="204">
        <v>121260.14</v>
      </c>
      <c r="AQ93" s="212">
        <v>124463.67</v>
      </c>
    </row>
    <row r="94" spans="11:43" x14ac:dyDescent="0.3">
      <c r="K94" s="209"/>
      <c r="L94" s="189"/>
      <c r="M94" s="189"/>
      <c r="N94" s="189"/>
      <c r="O94" s="189"/>
      <c r="P94" s="189"/>
      <c r="Q94" s="189"/>
      <c r="R94" s="189"/>
      <c r="S94" s="189"/>
      <c r="T94" s="189"/>
      <c r="U94" s="189"/>
      <c r="V94" s="189"/>
      <c r="W94" s="189"/>
      <c r="X94" s="189"/>
      <c r="Y94" s="189"/>
      <c r="Z94" s="189"/>
      <c r="AA94" s="189"/>
      <c r="AB94" s="189"/>
      <c r="AC94" s="189"/>
      <c r="AD94" s="189"/>
      <c r="AE94" s="189"/>
      <c r="AF94" s="189"/>
      <c r="AG94" s="189"/>
      <c r="AH94" s="189"/>
      <c r="AI94" s="189"/>
      <c r="AJ94" s="189"/>
      <c r="AK94" s="189"/>
      <c r="AL94" s="189"/>
      <c r="AM94" s="189"/>
      <c r="AN94" s="189"/>
      <c r="AO94" s="189"/>
      <c r="AP94" s="189"/>
      <c r="AQ94" s="213"/>
    </row>
    <row r="95" spans="11:43" x14ac:dyDescent="0.3">
      <c r="K95" s="208" t="s">
        <v>325</v>
      </c>
      <c r="L95" s="189"/>
      <c r="M95" s="189"/>
      <c r="N95" s="189"/>
      <c r="O95" s="189"/>
      <c r="P95" s="189"/>
      <c r="Q95" s="189"/>
      <c r="R95" s="189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F95" s="189"/>
      <c r="AG95" s="189"/>
      <c r="AH95" s="189"/>
      <c r="AI95" s="189"/>
      <c r="AJ95" s="189"/>
      <c r="AK95" s="189"/>
      <c r="AL95" s="189"/>
      <c r="AM95" s="189"/>
      <c r="AN95" s="189"/>
      <c r="AO95" s="189"/>
      <c r="AP95" s="189"/>
      <c r="AQ95" s="213"/>
    </row>
    <row r="96" spans="11:43" x14ac:dyDescent="0.3">
      <c r="K96" s="208" t="s">
        <v>335</v>
      </c>
      <c r="L96" s="204">
        <v>1.2</v>
      </c>
      <c r="M96" s="204">
        <v>1.4</v>
      </c>
      <c r="N96" s="204">
        <v>1.6</v>
      </c>
      <c r="O96" s="204">
        <v>1.8</v>
      </c>
      <c r="P96" s="204">
        <v>2</v>
      </c>
      <c r="Q96" s="204">
        <v>2.2000000000000002</v>
      </c>
      <c r="R96" s="204">
        <v>2.4000000000000004</v>
      </c>
      <c r="S96" s="204">
        <v>2.6</v>
      </c>
      <c r="T96" s="204">
        <v>2.8</v>
      </c>
      <c r="U96" s="204">
        <v>3</v>
      </c>
      <c r="V96" s="204">
        <v>3.2</v>
      </c>
      <c r="W96" s="204">
        <v>3.4000000000000004</v>
      </c>
      <c r="X96" s="204">
        <v>3.6000000000000005</v>
      </c>
      <c r="Y96" s="204">
        <v>3.8</v>
      </c>
      <c r="Z96" s="204">
        <v>4</v>
      </c>
      <c r="AA96" s="204">
        <v>4.2</v>
      </c>
      <c r="AB96" s="204">
        <v>4.4000000000000004</v>
      </c>
      <c r="AC96" s="204">
        <v>4.6000000000000005</v>
      </c>
      <c r="AD96" s="204">
        <v>4.8</v>
      </c>
      <c r="AE96" s="204">
        <v>5</v>
      </c>
      <c r="AF96" s="204">
        <v>5.2</v>
      </c>
      <c r="AG96" s="204">
        <v>5.4</v>
      </c>
      <c r="AH96" s="204">
        <v>5.6000000000000005</v>
      </c>
      <c r="AI96" s="204">
        <v>5.8000000000000007</v>
      </c>
      <c r="AJ96" s="204">
        <v>6.0000000000000009</v>
      </c>
      <c r="AK96" s="204">
        <v>6.2</v>
      </c>
      <c r="AL96" s="204">
        <v>6.4</v>
      </c>
      <c r="AM96" s="204">
        <v>6.6000000000000005</v>
      </c>
      <c r="AN96" s="204">
        <v>6.8000000000000007</v>
      </c>
      <c r="AO96" s="204">
        <v>7.0000000000000009</v>
      </c>
      <c r="AP96" s="204">
        <v>7.2</v>
      </c>
      <c r="AQ96" s="212">
        <v>7.4</v>
      </c>
    </row>
    <row r="97" spans="11:43" x14ac:dyDescent="0.3">
      <c r="K97" s="208" t="s">
        <v>81</v>
      </c>
      <c r="L97" s="204">
        <v>248229</v>
      </c>
      <c r="M97" s="204">
        <v>288796</v>
      </c>
      <c r="N97" s="204">
        <v>329004</v>
      </c>
      <c r="O97" s="204">
        <v>370034</v>
      </c>
      <c r="P97" s="204">
        <v>412036</v>
      </c>
      <c r="Q97" s="204">
        <v>454183</v>
      </c>
      <c r="R97" s="204">
        <v>496881</v>
      </c>
      <c r="S97" s="204">
        <v>540734</v>
      </c>
      <c r="T97" s="204">
        <v>583974</v>
      </c>
      <c r="U97" s="204">
        <v>627694</v>
      </c>
      <c r="V97" s="204">
        <v>673405</v>
      </c>
      <c r="W97" s="204">
        <v>718218</v>
      </c>
      <c r="X97" s="204">
        <v>763537</v>
      </c>
      <c r="Y97" s="204">
        <v>811219</v>
      </c>
      <c r="Z97" s="204">
        <v>857695</v>
      </c>
      <c r="AA97" s="204">
        <v>904708</v>
      </c>
      <c r="AB97" s="204">
        <v>953373</v>
      </c>
      <c r="AC97" s="204">
        <v>1000380</v>
      </c>
      <c r="AD97" s="204">
        <v>1049058</v>
      </c>
      <c r="AE97" s="204">
        <v>1099609</v>
      </c>
      <c r="AF97" s="204">
        <v>1148148</v>
      </c>
      <c r="AG97" s="204">
        <v>1198581</v>
      </c>
      <c r="AH97" s="204">
        <v>1249620</v>
      </c>
      <c r="AI97" s="204">
        <v>1299705</v>
      </c>
      <c r="AJ97" s="204">
        <v>1351916</v>
      </c>
      <c r="AK97" s="204">
        <v>1404766</v>
      </c>
      <c r="AL97" s="204">
        <v>1456475</v>
      </c>
      <c r="AM97" s="204">
        <v>1508694</v>
      </c>
      <c r="AN97" s="204">
        <v>1563371</v>
      </c>
      <c r="AO97" s="204">
        <v>1614695</v>
      </c>
      <c r="AP97" s="204">
        <v>1668493</v>
      </c>
      <c r="AQ97" s="212">
        <v>1725005</v>
      </c>
    </row>
    <row r="98" spans="11:43" x14ac:dyDescent="0.3">
      <c r="K98" s="209"/>
      <c r="L98" s="189"/>
      <c r="M98" s="189"/>
      <c r="N98" s="189"/>
      <c r="O98" s="189"/>
      <c r="P98" s="189"/>
      <c r="Q98" s="189"/>
      <c r="R98" s="189"/>
      <c r="S98" s="189"/>
      <c r="T98" s="189"/>
      <c r="U98" s="189"/>
      <c r="V98" s="189"/>
      <c r="W98" s="189"/>
      <c r="X98" s="189"/>
      <c r="Y98" s="189"/>
      <c r="Z98" s="189"/>
      <c r="AA98" s="189"/>
      <c r="AB98" s="189"/>
      <c r="AC98" s="189"/>
      <c r="AD98" s="189"/>
      <c r="AE98" s="189"/>
      <c r="AF98" s="189"/>
      <c r="AG98" s="189"/>
      <c r="AH98" s="189"/>
      <c r="AI98" s="189"/>
      <c r="AJ98" s="189"/>
      <c r="AK98" s="189"/>
      <c r="AL98" s="189"/>
      <c r="AM98" s="189"/>
      <c r="AN98" s="189"/>
      <c r="AO98" s="189"/>
      <c r="AP98" s="189"/>
      <c r="AQ98" s="213"/>
    </row>
    <row r="99" spans="11:43" x14ac:dyDescent="0.3">
      <c r="K99" s="208" t="s">
        <v>331</v>
      </c>
      <c r="L99" s="189"/>
      <c r="M99" s="189"/>
      <c r="N99" s="189"/>
      <c r="O99" s="189"/>
      <c r="P99" s="189"/>
      <c r="Q99" s="189"/>
      <c r="R99" s="189"/>
      <c r="S99" s="189"/>
      <c r="T99" s="189"/>
      <c r="U99" s="189"/>
      <c r="V99" s="189"/>
      <c r="W99" s="189"/>
      <c r="X99" s="189"/>
      <c r="Y99" s="189"/>
      <c r="Z99" s="189"/>
      <c r="AA99" s="189"/>
      <c r="AB99" s="189"/>
      <c r="AC99" s="189"/>
      <c r="AD99" s="189"/>
      <c r="AE99" s="189"/>
      <c r="AF99" s="189"/>
      <c r="AG99" s="189"/>
      <c r="AH99" s="189"/>
      <c r="AI99" s="189"/>
      <c r="AJ99" s="189"/>
      <c r="AK99" s="189"/>
      <c r="AL99" s="189"/>
      <c r="AM99" s="189"/>
      <c r="AN99" s="189"/>
      <c r="AO99" s="189"/>
      <c r="AP99" s="189"/>
      <c r="AQ99" s="213"/>
    </row>
    <row r="100" spans="11:43" x14ac:dyDescent="0.3">
      <c r="K100" s="208" t="s">
        <v>335</v>
      </c>
      <c r="L100" s="204">
        <v>0.7</v>
      </c>
      <c r="M100" s="204">
        <v>0.7</v>
      </c>
      <c r="N100" s="204">
        <v>0.7</v>
      </c>
      <c r="O100" s="204">
        <v>0.7</v>
      </c>
      <c r="P100" s="204">
        <v>0.7</v>
      </c>
      <c r="Q100" s="204">
        <v>0.7</v>
      </c>
      <c r="R100" s="204">
        <v>0.7</v>
      </c>
      <c r="S100" s="204">
        <v>0.7</v>
      </c>
      <c r="T100" s="204">
        <v>0.7</v>
      </c>
      <c r="U100" s="204">
        <v>0.7</v>
      </c>
      <c r="V100" s="204">
        <v>0.7</v>
      </c>
      <c r="W100" s="204">
        <v>0.7</v>
      </c>
      <c r="X100" s="204">
        <v>0.7</v>
      </c>
      <c r="Y100" s="204">
        <v>0.7</v>
      </c>
      <c r="Z100" s="204">
        <v>0.7</v>
      </c>
      <c r="AA100" s="204">
        <v>0.7</v>
      </c>
      <c r="AB100" s="204">
        <v>0.7</v>
      </c>
      <c r="AC100" s="204">
        <v>0.7</v>
      </c>
      <c r="AD100" s="204">
        <v>0.7</v>
      </c>
      <c r="AE100" s="204">
        <v>0.7</v>
      </c>
      <c r="AF100" s="204">
        <v>0.7</v>
      </c>
      <c r="AG100" s="204">
        <v>0.7</v>
      </c>
      <c r="AH100" s="204">
        <v>0.7</v>
      </c>
      <c r="AI100" s="204">
        <v>0.7</v>
      </c>
      <c r="AJ100" s="204">
        <v>0.7</v>
      </c>
      <c r="AK100" s="204">
        <v>0.7</v>
      </c>
      <c r="AL100" s="204">
        <v>0.7</v>
      </c>
      <c r="AM100" s="204">
        <v>0.7</v>
      </c>
      <c r="AN100" s="204">
        <v>0.7</v>
      </c>
      <c r="AO100" s="204">
        <v>0.7</v>
      </c>
      <c r="AP100" s="204">
        <v>0.7</v>
      </c>
      <c r="AQ100" s="212">
        <v>0.7</v>
      </c>
    </row>
    <row r="101" spans="11:43" x14ac:dyDescent="0.3">
      <c r="K101" s="208" t="s">
        <v>81</v>
      </c>
      <c r="L101" s="189">
        <v>87581</v>
      </c>
      <c r="M101" s="189">
        <v>87581</v>
      </c>
      <c r="N101" s="189">
        <v>87581</v>
      </c>
      <c r="O101" s="189">
        <v>87581</v>
      </c>
      <c r="P101" s="189">
        <v>87581</v>
      </c>
      <c r="Q101" s="189">
        <v>87581</v>
      </c>
      <c r="R101" s="189">
        <v>87581</v>
      </c>
      <c r="S101" s="189">
        <v>87581</v>
      </c>
      <c r="T101" s="189">
        <v>87581</v>
      </c>
      <c r="U101" s="189">
        <v>87581</v>
      </c>
      <c r="V101" s="189">
        <v>87581</v>
      </c>
      <c r="W101" s="189">
        <v>87581</v>
      </c>
      <c r="X101" s="189">
        <v>87581</v>
      </c>
      <c r="Y101" s="189">
        <v>87581</v>
      </c>
      <c r="Z101" s="189">
        <v>87581</v>
      </c>
      <c r="AA101" s="189">
        <v>87581</v>
      </c>
      <c r="AB101" s="189">
        <v>87581</v>
      </c>
      <c r="AC101" s="189">
        <v>87581</v>
      </c>
      <c r="AD101" s="189">
        <v>87581</v>
      </c>
      <c r="AE101" s="189">
        <v>87581</v>
      </c>
      <c r="AF101" s="218">
        <v>87581</v>
      </c>
      <c r="AG101" s="218">
        <v>87581</v>
      </c>
      <c r="AH101" s="218">
        <v>87581</v>
      </c>
      <c r="AI101" s="218">
        <v>87581</v>
      </c>
      <c r="AJ101" s="218">
        <v>87581</v>
      </c>
      <c r="AK101" s="218">
        <v>87581</v>
      </c>
      <c r="AL101" s="218">
        <v>87581</v>
      </c>
      <c r="AM101" s="218">
        <v>87581</v>
      </c>
      <c r="AN101" s="218">
        <v>87581</v>
      </c>
      <c r="AO101" s="218">
        <v>87581</v>
      </c>
      <c r="AP101" s="218">
        <v>87581</v>
      </c>
      <c r="AQ101" s="219">
        <v>87581</v>
      </c>
    </row>
    <row r="102" spans="11:43" x14ac:dyDescent="0.3">
      <c r="K102" s="20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213"/>
    </row>
    <row r="103" spans="11:43" x14ac:dyDescent="0.3">
      <c r="K103" s="208" t="s">
        <v>320</v>
      </c>
      <c r="L103" s="189"/>
      <c r="M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89"/>
      <c r="AH103" s="189"/>
      <c r="AI103" s="189"/>
      <c r="AJ103" s="189"/>
      <c r="AK103" s="189"/>
      <c r="AL103" s="189"/>
      <c r="AM103" s="189"/>
      <c r="AN103" s="189"/>
      <c r="AO103" s="189"/>
      <c r="AP103" s="189"/>
      <c r="AQ103" s="213"/>
    </row>
    <row r="104" spans="11:43" x14ac:dyDescent="0.3">
      <c r="K104" s="208" t="s">
        <v>333</v>
      </c>
      <c r="L104" s="204">
        <v>1.2</v>
      </c>
      <c r="M104" s="204">
        <v>1.4</v>
      </c>
      <c r="N104" s="204">
        <v>1.6</v>
      </c>
      <c r="O104" s="204">
        <v>1.8</v>
      </c>
      <c r="P104" s="204">
        <v>2</v>
      </c>
      <c r="Q104" s="204">
        <v>2.2000000000000002</v>
      </c>
      <c r="R104" s="204">
        <v>2.4000000000000004</v>
      </c>
      <c r="S104" s="204">
        <v>2.6</v>
      </c>
      <c r="T104" s="204">
        <v>2.8</v>
      </c>
      <c r="U104" s="204">
        <v>3</v>
      </c>
      <c r="V104" s="204">
        <v>3.2</v>
      </c>
      <c r="W104" s="204">
        <v>3.4000000000000004</v>
      </c>
      <c r="X104" s="204">
        <v>3.6000000000000005</v>
      </c>
      <c r="Y104" s="204">
        <v>3.8</v>
      </c>
      <c r="Z104" s="204">
        <v>4</v>
      </c>
      <c r="AA104" s="204">
        <v>4.2</v>
      </c>
      <c r="AB104" s="204">
        <v>4.4000000000000004</v>
      </c>
      <c r="AC104" s="204">
        <v>4.6000000000000005</v>
      </c>
      <c r="AD104" s="204">
        <v>4.8</v>
      </c>
      <c r="AE104" s="204">
        <v>5</v>
      </c>
      <c r="AF104" s="204">
        <v>5.2</v>
      </c>
      <c r="AG104" s="204">
        <v>5.4</v>
      </c>
      <c r="AH104" s="204">
        <v>5.6000000000000005</v>
      </c>
      <c r="AI104" s="204">
        <v>5.8000000000000007</v>
      </c>
      <c r="AJ104" s="204">
        <v>6.0000000000000009</v>
      </c>
      <c r="AK104" s="204">
        <v>6.2</v>
      </c>
      <c r="AL104" s="204">
        <v>6.4</v>
      </c>
      <c r="AM104" s="204">
        <v>6.6000000000000005</v>
      </c>
      <c r="AN104" s="204">
        <v>6.8000000000000007</v>
      </c>
      <c r="AO104" s="204">
        <v>7.0000000000000009</v>
      </c>
      <c r="AP104" s="204">
        <v>7.2</v>
      </c>
      <c r="AQ104" s="212">
        <v>7.4</v>
      </c>
    </row>
    <row r="105" spans="11:43" ht="15" thickBot="1" x14ac:dyDescent="0.35">
      <c r="K105" s="210" t="s">
        <v>81</v>
      </c>
      <c r="L105" s="206">
        <v>447277</v>
      </c>
      <c r="M105" s="206">
        <v>389564</v>
      </c>
      <c r="N105" s="206">
        <v>341787</v>
      </c>
      <c r="O105" s="206">
        <v>307029</v>
      </c>
      <c r="P105" s="206">
        <v>278688</v>
      </c>
      <c r="Q105" s="206">
        <v>255137</v>
      </c>
      <c r="R105" s="206">
        <v>235256</v>
      </c>
      <c r="S105" s="206">
        <v>218250</v>
      </c>
      <c r="T105" s="206">
        <v>203536</v>
      </c>
      <c r="U105" s="206">
        <v>191690</v>
      </c>
      <c r="V105" s="206">
        <v>180246</v>
      </c>
      <c r="W105" s="206">
        <v>170894</v>
      </c>
      <c r="X105" s="206">
        <v>162464</v>
      </c>
      <c r="Y105" s="206">
        <v>154827</v>
      </c>
      <c r="Z105" s="206">
        <v>147875</v>
      </c>
      <c r="AA105" s="206">
        <v>141521</v>
      </c>
      <c r="AB105" s="206">
        <v>136201</v>
      </c>
      <c r="AC105" s="206">
        <v>130792</v>
      </c>
      <c r="AD105" s="206">
        <v>126235</v>
      </c>
      <c r="AE105" s="206">
        <v>122397</v>
      </c>
      <c r="AF105" s="206">
        <v>118397</v>
      </c>
      <c r="AG105" s="206">
        <v>114650</v>
      </c>
      <c r="AH105" s="206">
        <v>111475</v>
      </c>
      <c r="AI105" s="206">
        <v>108471</v>
      </c>
      <c r="AJ105" s="206">
        <v>105625</v>
      </c>
      <c r="AK105" s="206">
        <v>102925</v>
      </c>
      <c r="AL105" s="206">
        <v>100637</v>
      </c>
      <c r="AM105" s="206">
        <v>98183</v>
      </c>
      <c r="AN105" s="206">
        <v>96355</v>
      </c>
      <c r="AO105" s="206">
        <v>94347</v>
      </c>
      <c r="AP105" s="206">
        <v>92422</v>
      </c>
      <c r="AQ105" s="214">
        <v>91029</v>
      </c>
    </row>
    <row r="106" spans="11:43" ht="15.6" thickTop="1" thickBot="1" x14ac:dyDescent="0.35"/>
    <row r="107" spans="11:43" ht="15" thickTop="1" x14ac:dyDescent="0.3">
      <c r="K107" s="207" t="s">
        <v>318</v>
      </c>
      <c r="L107" s="205"/>
      <c r="M107" s="205"/>
      <c r="N107" s="205"/>
      <c r="O107" s="205"/>
      <c r="P107" s="205"/>
      <c r="Q107" s="205"/>
      <c r="R107" s="205"/>
      <c r="S107" s="205"/>
      <c r="T107" s="205"/>
      <c r="U107" s="205"/>
      <c r="V107" s="205"/>
      <c r="W107" s="205"/>
      <c r="X107" s="205"/>
      <c r="Y107" s="205"/>
      <c r="Z107" s="205"/>
      <c r="AA107" s="205"/>
      <c r="AB107" s="205"/>
      <c r="AC107" s="205"/>
      <c r="AD107" s="205"/>
      <c r="AE107" s="205"/>
      <c r="AF107" s="205"/>
      <c r="AG107" s="205"/>
      <c r="AH107" s="205"/>
      <c r="AI107" s="205"/>
      <c r="AJ107" s="205"/>
      <c r="AK107" s="205"/>
      <c r="AL107" s="205"/>
      <c r="AM107" s="205"/>
      <c r="AN107" s="205"/>
      <c r="AO107" s="205"/>
      <c r="AP107" s="205"/>
      <c r="AQ107" s="211"/>
    </row>
    <row r="108" spans="11:43" x14ac:dyDescent="0.3">
      <c r="K108" s="208" t="s">
        <v>333</v>
      </c>
      <c r="L108" s="204">
        <v>1.2</v>
      </c>
      <c r="M108" s="204">
        <v>1.4</v>
      </c>
      <c r="N108" s="204">
        <v>1.6</v>
      </c>
      <c r="O108" s="204">
        <v>1.8</v>
      </c>
      <c r="P108" s="204">
        <v>2</v>
      </c>
      <c r="Q108" s="204">
        <v>2.2000000000000002</v>
      </c>
      <c r="R108" s="204">
        <v>2.4000000000000004</v>
      </c>
      <c r="S108" s="204">
        <v>2.6</v>
      </c>
      <c r="T108" s="204">
        <v>2.8</v>
      </c>
      <c r="U108" s="204">
        <v>3</v>
      </c>
      <c r="V108" s="204">
        <v>3.2</v>
      </c>
      <c r="W108" s="204">
        <v>3.4000000000000004</v>
      </c>
      <c r="X108" s="204">
        <v>3.6000000000000005</v>
      </c>
      <c r="Y108" s="204">
        <v>3.8</v>
      </c>
      <c r="Z108" s="204">
        <v>4</v>
      </c>
      <c r="AA108" s="204">
        <v>4.2</v>
      </c>
      <c r="AB108" s="204">
        <v>4.4000000000000004</v>
      </c>
      <c r="AC108" s="204">
        <v>4.6000000000000005</v>
      </c>
      <c r="AD108" s="204">
        <v>4.8</v>
      </c>
      <c r="AE108" s="204">
        <v>5</v>
      </c>
      <c r="AF108" s="204">
        <v>5.2</v>
      </c>
      <c r="AG108" s="204">
        <v>5.4</v>
      </c>
      <c r="AH108" s="204">
        <v>5.6000000000000005</v>
      </c>
      <c r="AI108" s="204">
        <v>5.8000000000000007</v>
      </c>
      <c r="AJ108" s="204">
        <v>6.0000000000000009</v>
      </c>
      <c r="AK108" s="204">
        <v>6.2</v>
      </c>
      <c r="AL108" s="204">
        <v>6.4</v>
      </c>
      <c r="AM108" s="204">
        <v>6.6000000000000005</v>
      </c>
      <c r="AN108" s="204">
        <v>6.8000000000000007</v>
      </c>
      <c r="AO108" s="204">
        <v>7.0000000000000009</v>
      </c>
      <c r="AP108" s="204">
        <v>7.2</v>
      </c>
      <c r="AQ108" s="212">
        <v>7.4</v>
      </c>
    </row>
    <row r="109" spans="11:43" x14ac:dyDescent="0.3">
      <c r="K109" s="208" t="s">
        <v>81</v>
      </c>
      <c r="L109" s="217">
        <v>19900.150000000001</v>
      </c>
      <c r="M109" s="217">
        <v>24833.72</v>
      </c>
      <c r="N109" s="217">
        <v>29638.959999999999</v>
      </c>
      <c r="O109" s="217">
        <v>33054.03</v>
      </c>
      <c r="P109" s="217">
        <v>36460.07</v>
      </c>
      <c r="Q109" s="217">
        <v>39851.980000000003</v>
      </c>
      <c r="R109" s="217">
        <v>43229.89</v>
      </c>
      <c r="S109" s="217">
        <v>46593.94</v>
      </c>
      <c r="T109" s="217">
        <v>49952.85</v>
      </c>
      <c r="U109" s="217">
        <v>53290.080000000002</v>
      </c>
      <c r="V109" s="217">
        <v>56613.82</v>
      </c>
      <c r="W109" s="217">
        <v>59934.39</v>
      </c>
      <c r="X109" s="217">
        <v>63242.75</v>
      </c>
      <c r="Y109" s="217">
        <v>66539.009999999995</v>
      </c>
      <c r="Z109" s="217">
        <v>69823.259999999995</v>
      </c>
      <c r="AA109" s="217">
        <v>73095.61</v>
      </c>
      <c r="AB109" s="217">
        <v>76368.91</v>
      </c>
      <c r="AC109" s="217">
        <v>79618.23</v>
      </c>
      <c r="AD109" s="217">
        <v>82869.69</v>
      </c>
      <c r="AE109" s="217">
        <v>86110.59</v>
      </c>
      <c r="AF109" s="217">
        <v>89341.02</v>
      </c>
      <c r="AG109" s="217">
        <v>92561.05</v>
      </c>
      <c r="AH109" s="217">
        <v>95802.16</v>
      </c>
      <c r="AI109" s="217">
        <v>99002.57</v>
      </c>
      <c r="AJ109" s="204">
        <v>102209.45</v>
      </c>
      <c r="AK109" s="204">
        <v>105424.29</v>
      </c>
      <c r="AL109" s="204">
        <v>108613.34</v>
      </c>
      <c r="AM109" s="204">
        <v>111811.41</v>
      </c>
      <c r="AN109" s="204">
        <v>115001.4</v>
      </c>
      <c r="AO109" s="204">
        <v>118183.37</v>
      </c>
      <c r="AP109" s="204">
        <v>121357.35</v>
      </c>
      <c r="AQ109" s="212">
        <v>124563.27</v>
      </c>
    </row>
    <row r="110" spans="11:43" x14ac:dyDescent="0.3">
      <c r="K110" s="209"/>
      <c r="L110" s="189"/>
      <c r="M110" s="189"/>
      <c r="N110" s="189"/>
      <c r="O110" s="189"/>
      <c r="P110" s="189"/>
      <c r="Q110" s="189"/>
      <c r="R110" s="189"/>
      <c r="S110" s="189"/>
      <c r="T110" s="189"/>
      <c r="U110" s="189"/>
      <c r="V110" s="189"/>
      <c r="W110" s="189"/>
      <c r="X110" s="189"/>
      <c r="Y110" s="189"/>
      <c r="Z110" s="189"/>
      <c r="AA110" s="189"/>
      <c r="AB110" s="189"/>
      <c r="AC110" s="189"/>
      <c r="AD110" s="189"/>
      <c r="AE110" s="189"/>
      <c r="AF110" s="189"/>
      <c r="AG110" s="189"/>
      <c r="AH110" s="189"/>
      <c r="AI110" s="189"/>
      <c r="AJ110" s="189"/>
      <c r="AK110" s="189"/>
      <c r="AL110" s="189"/>
      <c r="AM110" s="189"/>
      <c r="AN110" s="189"/>
      <c r="AO110" s="189"/>
      <c r="AP110" s="189"/>
      <c r="AQ110" s="213"/>
    </row>
    <row r="111" spans="11:43" x14ac:dyDescent="0.3">
      <c r="K111" s="208" t="s">
        <v>325</v>
      </c>
      <c r="L111" s="189"/>
      <c r="M111" s="189"/>
      <c r="N111" s="189"/>
      <c r="O111" s="189"/>
      <c r="P111" s="189"/>
      <c r="Q111" s="189"/>
      <c r="R111" s="189"/>
      <c r="S111" s="189"/>
      <c r="T111" s="189"/>
      <c r="U111" s="189"/>
      <c r="V111" s="189"/>
      <c r="W111" s="189"/>
      <c r="X111" s="189"/>
      <c r="Y111" s="189"/>
      <c r="Z111" s="189"/>
      <c r="AA111" s="189"/>
      <c r="AB111" s="189"/>
      <c r="AC111" s="189"/>
      <c r="AD111" s="189"/>
      <c r="AE111" s="189"/>
      <c r="AF111" s="189"/>
      <c r="AG111" s="189"/>
      <c r="AH111" s="189"/>
      <c r="AI111" s="189"/>
      <c r="AJ111" s="189"/>
      <c r="AK111" s="189"/>
      <c r="AL111" s="189"/>
      <c r="AM111" s="189"/>
      <c r="AN111" s="189"/>
      <c r="AO111" s="189"/>
      <c r="AP111" s="189"/>
      <c r="AQ111" s="213"/>
    </row>
    <row r="112" spans="11:43" x14ac:dyDescent="0.3">
      <c r="K112" s="208" t="s">
        <v>335</v>
      </c>
      <c r="L112" s="204">
        <v>1.2</v>
      </c>
      <c r="M112" s="204">
        <v>1.4</v>
      </c>
      <c r="N112" s="204">
        <v>1.6</v>
      </c>
      <c r="O112" s="204">
        <v>1.8</v>
      </c>
      <c r="P112" s="204">
        <v>2</v>
      </c>
      <c r="Q112" s="204">
        <v>2.2000000000000002</v>
      </c>
      <c r="R112" s="204">
        <v>2.4000000000000004</v>
      </c>
      <c r="S112" s="204">
        <v>2.6</v>
      </c>
      <c r="T112" s="204">
        <v>2.8</v>
      </c>
      <c r="U112" s="204">
        <v>3</v>
      </c>
      <c r="V112" s="204">
        <v>3.2</v>
      </c>
      <c r="W112" s="204">
        <v>3.4000000000000004</v>
      </c>
      <c r="X112" s="204">
        <v>3.6000000000000005</v>
      </c>
      <c r="Y112" s="204">
        <v>3.8</v>
      </c>
      <c r="Z112" s="204">
        <v>4</v>
      </c>
      <c r="AA112" s="204">
        <v>4.2</v>
      </c>
      <c r="AB112" s="204">
        <v>4.4000000000000004</v>
      </c>
      <c r="AC112" s="204">
        <v>4.6000000000000005</v>
      </c>
      <c r="AD112" s="204">
        <v>4.8</v>
      </c>
      <c r="AE112" s="204">
        <v>5</v>
      </c>
      <c r="AF112" s="204">
        <v>5.2</v>
      </c>
      <c r="AG112" s="204">
        <v>5.4</v>
      </c>
      <c r="AH112" s="204">
        <v>5.6000000000000005</v>
      </c>
      <c r="AI112" s="204">
        <v>5.8000000000000007</v>
      </c>
      <c r="AJ112" s="204">
        <v>6.0000000000000009</v>
      </c>
      <c r="AK112" s="204">
        <v>6.2</v>
      </c>
      <c r="AL112" s="204">
        <v>6.4</v>
      </c>
      <c r="AM112" s="204">
        <v>6.6000000000000005</v>
      </c>
      <c r="AN112" s="204">
        <v>6.8000000000000007</v>
      </c>
      <c r="AO112" s="204">
        <v>7.0000000000000009</v>
      </c>
      <c r="AP112" s="204">
        <v>7.2</v>
      </c>
      <c r="AQ112" s="212">
        <v>7.4</v>
      </c>
    </row>
    <row r="113" spans="11:43" x14ac:dyDescent="0.3">
      <c r="K113" s="208" t="s">
        <v>81</v>
      </c>
      <c r="L113" s="204">
        <v>248229</v>
      </c>
      <c r="M113" s="204">
        <v>288796</v>
      </c>
      <c r="N113" s="204">
        <v>329004</v>
      </c>
      <c r="O113" s="204">
        <v>370034</v>
      </c>
      <c r="P113" s="204">
        <v>412036</v>
      </c>
      <c r="Q113" s="204">
        <v>454183</v>
      </c>
      <c r="R113" s="204">
        <v>496881</v>
      </c>
      <c r="S113" s="204">
        <v>540734</v>
      </c>
      <c r="T113" s="204">
        <v>583974</v>
      </c>
      <c r="U113" s="204">
        <v>627694</v>
      </c>
      <c r="V113" s="204">
        <v>673405</v>
      </c>
      <c r="W113" s="204">
        <v>718218</v>
      </c>
      <c r="X113" s="204">
        <v>763537</v>
      </c>
      <c r="Y113" s="204">
        <v>811219</v>
      </c>
      <c r="Z113" s="204">
        <v>857695</v>
      </c>
      <c r="AA113" s="204">
        <v>904708</v>
      </c>
      <c r="AB113" s="204">
        <v>953373</v>
      </c>
      <c r="AC113" s="204">
        <v>1000380</v>
      </c>
      <c r="AD113" s="204">
        <v>1049058</v>
      </c>
      <c r="AE113" s="204">
        <v>1099609</v>
      </c>
      <c r="AF113" s="204">
        <v>1148148</v>
      </c>
      <c r="AG113" s="204">
        <v>1198581</v>
      </c>
      <c r="AH113" s="204">
        <v>1249620</v>
      </c>
      <c r="AI113" s="204">
        <v>1299705</v>
      </c>
      <c r="AJ113" s="204">
        <v>1351916</v>
      </c>
      <c r="AK113" s="204">
        <v>1404766</v>
      </c>
      <c r="AL113" s="204">
        <v>1456475</v>
      </c>
      <c r="AM113" s="204">
        <v>1508694</v>
      </c>
      <c r="AN113" s="204">
        <v>1563371</v>
      </c>
      <c r="AO113" s="204">
        <v>1614695</v>
      </c>
      <c r="AP113" s="204">
        <v>1668493</v>
      </c>
      <c r="AQ113" s="212">
        <v>1725005</v>
      </c>
    </row>
    <row r="114" spans="11:43" x14ac:dyDescent="0.3">
      <c r="K114" s="209"/>
      <c r="L114" s="189"/>
      <c r="M114" s="189"/>
      <c r="N114" s="189"/>
      <c r="O114" s="189"/>
      <c r="P114" s="189"/>
      <c r="Q114" s="189"/>
      <c r="R114" s="189"/>
      <c r="S114" s="189"/>
      <c r="T114" s="189"/>
      <c r="U114" s="189"/>
      <c r="V114" s="189"/>
      <c r="W114" s="189"/>
      <c r="X114" s="189"/>
      <c r="Y114" s="189"/>
      <c r="Z114" s="189"/>
      <c r="AA114" s="189"/>
      <c r="AB114" s="189"/>
      <c r="AC114" s="189"/>
      <c r="AD114" s="189"/>
      <c r="AE114" s="189"/>
      <c r="AF114" s="189"/>
      <c r="AG114" s="189"/>
      <c r="AH114" s="189"/>
      <c r="AI114" s="189"/>
      <c r="AJ114" s="189"/>
      <c r="AK114" s="189"/>
      <c r="AL114" s="189"/>
      <c r="AM114" s="189"/>
      <c r="AN114" s="189"/>
      <c r="AO114" s="189"/>
      <c r="AP114" s="189"/>
      <c r="AQ114" s="213"/>
    </row>
    <row r="115" spans="11:43" x14ac:dyDescent="0.3">
      <c r="K115" s="208" t="s">
        <v>331</v>
      </c>
      <c r="L115" s="189"/>
      <c r="M115" s="189"/>
      <c r="N115" s="189"/>
      <c r="O115" s="189"/>
      <c r="P115" s="189"/>
      <c r="Q115" s="189"/>
      <c r="R115" s="189"/>
      <c r="S115" s="189"/>
      <c r="T115" s="189"/>
      <c r="U115" s="189"/>
      <c r="V115" s="189"/>
      <c r="W115" s="189"/>
      <c r="X115" s="189"/>
      <c r="Y115" s="189"/>
      <c r="Z115" s="189"/>
      <c r="AA115" s="189"/>
      <c r="AB115" s="189"/>
      <c r="AC115" s="189"/>
      <c r="AD115" s="189"/>
      <c r="AE115" s="189"/>
      <c r="AF115" s="189"/>
      <c r="AG115" s="189"/>
      <c r="AH115" s="189"/>
      <c r="AI115" s="189"/>
      <c r="AJ115" s="189"/>
      <c r="AK115" s="189"/>
      <c r="AL115" s="189"/>
      <c r="AM115" s="189"/>
      <c r="AN115" s="189"/>
      <c r="AO115" s="189"/>
      <c r="AP115" s="189"/>
      <c r="AQ115" s="213"/>
    </row>
    <row r="116" spans="11:43" x14ac:dyDescent="0.3">
      <c r="K116" s="208" t="s">
        <v>335</v>
      </c>
      <c r="L116" s="204">
        <v>0.8</v>
      </c>
      <c r="M116" s="204">
        <v>0.8</v>
      </c>
      <c r="N116" s="204">
        <v>0.8</v>
      </c>
      <c r="O116" s="204">
        <v>0.8</v>
      </c>
      <c r="P116" s="204">
        <v>0.8</v>
      </c>
      <c r="Q116" s="204">
        <v>0.8</v>
      </c>
      <c r="R116" s="204">
        <v>0.8</v>
      </c>
      <c r="S116" s="204">
        <v>0.8</v>
      </c>
      <c r="T116" s="204">
        <v>0.8</v>
      </c>
      <c r="U116" s="204">
        <v>0.8</v>
      </c>
      <c r="V116" s="204">
        <v>0.8</v>
      </c>
      <c r="W116" s="204">
        <v>0.8</v>
      </c>
      <c r="X116" s="204">
        <v>0.8</v>
      </c>
      <c r="Y116" s="204">
        <v>0.8</v>
      </c>
      <c r="Z116" s="204">
        <v>0.8</v>
      </c>
      <c r="AA116" s="204">
        <v>0.8</v>
      </c>
      <c r="AB116" s="204">
        <v>0.8</v>
      </c>
      <c r="AC116" s="204">
        <v>0.8</v>
      </c>
      <c r="AD116" s="204">
        <v>0.8</v>
      </c>
      <c r="AE116" s="204">
        <v>0.8</v>
      </c>
      <c r="AF116" s="204">
        <v>0.8</v>
      </c>
      <c r="AG116" s="204">
        <v>0.8</v>
      </c>
      <c r="AH116" s="204">
        <v>0.8</v>
      </c>
      <c r="AI116" s="204">
        <v>0.8</v>
      </c>
      <c r="AJ116" s="204">
        <v>0.8</v>
      </c>
      <c r="AK116" s="204">
        <v>0.8</v>
      </c>
      <c r="AL116" s="204">
        <v>0.8</v>
      </c>
      <c r="AM116" s="204">
        <v>0.8</v>
      </c>
      <c r="AN116" s="204">
        <v>0.8</v>
      </c>
      <c r="AO116" s="204">
        <v>0.8</v>
      </c>
      <c r="AP116" s="204">
        <v>0.8</v>
      </c>
      <c r="AQ116" s="212">
        <v>0.8</v>
      </c>
    </row>
    <row r="117" spans="11:43" x14ac:dyDescent="0.3">
      <c r="K117" s="208" t="s">
        <v>81</v>
      </c>
      <c r="L117" s="189">
        <v>99019</v>
      </c>
      <c r="M117" s="189">
        <v>99019</v>
      </c>
      <c r="N117" s="189">
        <v>99019</v>
      </c>
      <c r="O117" s="189">
        <v>99019</v>
      </c>
      <c r="P117" s="189">
        <v>99019</v>
      </c>
      <c r="Q117" s="189">
        <v>99019</v>
      </c>
      <c r="R117" s="189">
        <v>99019</v>
      </c>
      <c r="S117" s="189">
        <v>99019</v>
      </c>
      <c r="T117" s="189">
        <v>99019</v>
      </c>
      <c r="U117" s="189">
        <v>99019</v>
      </c>
      <c r="V117" s="189">
        <v>99019</v>
      </c>
      <c r="W117" s="189">
        <v>99019</v>
      </c>
      <c r="X117" s="189">
        <v>99019</v>
      </c>
      <c r="Y117" s="189">
        <v>99019</v>
      </c>
      <c r="Z117" s="189">
        <v>99019</v>
      </c>
      <c r="AA117" s="189">
        <v>99019</v>
      </c>
      <c r="AB117" s="189">
        <v>99019</v>
      </c>
      <c r="AC117" s="189">
        <v>99019</v>
      </c>
      <c r="AD117" s="189">
        <v>99019</v>
      </c>
      <c r="AE117" s="189">
        <v>99019</v>
      </c>
      <c r="AF117" s="189">
        <v>99019</v>
      </c>
      <c r="AG117" s="189">
        <v>99019</v>
      </c>
      <c r="AH117" s="189">
        <v>99019</v>
      </c>
      <c r="AI117" s="189">
        <v>99019</v>
      </c>
      <c r="AJ117" s="218">
        <v>99019</v>
      </c>
      <c r="AK117" s="218">
        <v>99019</v>
      </c>
      <c r="AL117" s="218">
        <v>99019</v>
      </c>
      <c r="AM117" s="218">
        <v>99019</v>
      </c>
      <c r="AN117" s="189">
        <v>99019</v>
      </c>
      <c r="AO117" s="189">
        <v>99019</v>
      </c>
      <c r="AP117" s="189">
        <v>99019</v>
      </c>
      <c r="AQ117" s="213">
        <v>99019</v>
      </c>
    </row>
    <row r="118" spans="11:43" x14ac:dyDescent="0.3">
      <c r="K118" s="209"/>
      <c r="L118" s="189"/>
      <c r="M118" s="189"/>
      <c r="N118" s="189"/>
      <c r="O118" s="189"/>
      <c r="P118" s="189"/>
      <c r="Q118" s="189"/>
      <c r="R118" s="189"/>
      <c r="S118" s="189"/>
      <c r="T118" s="189"/>
      <c r="U118" s="189"/>
      <c r="V118" s="189"/>
      <c r="W118" s="189"/>
      <c r="X118" s="189"/>
      <c r="Y118" s="189"/>
      <c r="Z118" s="189"/>
      <c r="AA118" s="189"/>
      <c r="AB118" s="189"/>
      <c r="AC118" s="189"/>
      <c r="AD118" s="189"/>
      <c r="AE118" s="189"/>
      <c r="AF118" s="189"/>
      <c r="AG118" s="189"/>
      <c r="AH118" s="189"/>
      <c r="AI118" s="189"/>
      <c r="AJ118" s="189"/>
      <c r="AK118" s="189"/>
      <c r="AL118" s="189"/>
      <c r="AM118" s="189"/>
      <c r="AN118" s="189"/>
      <c r="AO118" s="189"/>
      <c r="AP118" s="189"/>
      <c r="AQ118" s="213"/>
    </row>
    <row r="119" spans="11:43" x14ac:dyDescent="0.3">
      <c r="K119" s="208" t="s">
        <v>320</v>
      </c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189"/>
      <c r="AE119" s="189"/>
      <c r="AF119" s="189"/>
      <c r="AG119" s="189"/>
      <c r="AH119" s="189"/>
      <c r="AI119" s="189"/>
      <c r="AJ119" s="189"/>
      <c r="AK119" s="189"/>
      <c r="AL119" s="189"/>
      <c r="AM119" s="189"/>
      <c r="AN119" s="189"/>
      <c r="AO119" s="189"/>
      <c r="AP119" s="189"/>
      <c r="AQ119" s="213"/>
    </row>
    <row r="120" spans="11:43" x14ac:dyDescent="0.3">
      <c r="K120" s="208" t="s">
        <v>333</v>
      </c>
      <c r="L120" s="204">
        <v>1.2</v>
      </c>
      <c r="M120" s="204">
        <v>1.4</v>
      </c>
      <c r="N120" s="204">
        <v>1.6</v>
      </c>
      <c r="O120" s="204">
        <v>1.8</v>
      </c>
      <c r="P120" s="204">
        <v>2</v>
      </c>
      <c r="Q120" s="204">
        <v>2.2000000000000002</v>
      </c>
      <c r="R120" s="204">
        <v>2.4000000000000004</v>
      </c>
      <c r="S120" s="204">
        <v>2.6</v>
      </c>
      <c r="T120" s="204">
        <v>2.8</v>
      </c>
      <c r="U120" s="204">
        <v>3</v>
      </c>
      <c r="V120" s="204">
        <v>3.2</v>
      </c>
      <c r="W120" s="204">
        <v>3.4000000000000004</v>
      </c>
      <c r="X120" s="204">
        <v>3.6000000000000005</v>
      </c>
      <c r="Y120" s="204">
        <v>3.8</v>
      </c>
      <c r="Z120" s="204">
        <v>4</v>
      </c>
      <c r="AA120" s="204">
        <v>4.2</v>
      </c>
      <c r="AB120" s="204">
        <v>4.4000000000000004</v>
      </c>
      <c r="AC120" s="204">
        <v>4.6000000000000005</v>
      </c>
      <c r="AD120" s="204">
        <v>4.8</v>
      </c>
      <c r="AE120" s="204">
        <v>5</v>
      </c>
      <c r="AF120" s="204">
        <v>5.2</v>
      </c>
      <c r="AG120" s="204">
        <v>5.4</v>
      </c>
      <c r="AH120" s="204">
        <v>5.6000000000000005</v>
      </c>
      <c r="AI120" s="204">
        <v>5.8000000000000007</v>
      </c>
      <c r="AJ120" s="204">
        <v>6.0000000000000009</v>
      </c>
      <c r="AK120" s="204">
        <v>6.2</v>
      </c>
      <c r="AL120" s="204">
        <v>6.4</v>
      </c>
      <c r="AM120" s="204">
        <v>6.6000000000000005</v>
      </c>
      <c r="AN120" s="204">
        <v>6.8000000000000007</v>
      </c>
      <c r="AO120" s="204">
        <v>7.0000000000000009</v>
      </c>
      <c r="AP120" s="204">
        <v>7.2</v>
      </c>
      <c r="AQ120" s="212">
        <v>7.4</v>
      </c>
    </row>
    <row r="121" spans="11:43" ht="15" thickBot="1" x14ac:dyDescent="0.35">
      <c r="K121" s="210" t="s">
        <v>81</v>
      </c>
      <c r="L121" s="206">
        <v>480360</v>
      </c>
      <c r="M121" s="206">
        <v>414104</v>
      </c>
      <c r="N121" s="206">
        <v>363909</v>
      </c>
      <c r="O121" s="206">
        <v>321670</v>
      </c>
      <c r="P121" s="206">
        <v>290541</v>
      </c>
      <c r="Q121" s="206">
        <v>264905</v>
      </c>
      <c r="R121" s="206">
        <v>243426</v>
      </c>
      <c r="S121" s="206">
        <v>225169</v>
      </c>
      <c r="T121" s="206">
        <v>210684</v>
      </c>
      <c r="U121" s="206">
        <v>196869</v>
      </c>
      <c r="V121" s="206">
        <v>184754</v>
      </c>
      <c r="W121" s="206">
        <v>174889</v>
      </c>
      <c r="X121" s="206">
        <v>166023</v>
      </c>
      <c r="Y121" s="206">
        <v>158013</v>
      </c>
      <c r="Z121" s="206">
        <v>150741</v>
      </c>
      <c r="AA121" s="206">
        <v>144108</v>
      </c>
      <c r="AB121" s="206">
        <v>138566</v>
      </c>
      <c r="AC121" s="206">
        <v>132941</v>
      </c>
      <c r="AD121" s="206">
        <v>128210</v>
      </c>
      <c r="AE121" s="206">
        <v>123804</v>
      </c>
      <c r="AF121" s="206">
        <v>119691</v>
      </c>
      <c r="AG121" s="206">
        <v>115843</v>
      </c>
      <c r="AH121" s="206">
        <v>112937</v>
      </c>
      <c r="AI121" s="206">
        <v>109505</v>
      </c>
      <c r="AJ121" s="206">
        <v>106589</v>
      </c>
      <c r="AK121" s="206">
        <v>104124</v>
      </c>
      <c r="AL121" s="206">
        <v>101485</v>
      </c>
      <c r="AM121" s="206">
        <v>99248</v>
      </c>
      <c r="AN121" s="215">
        <v>97108</v>
      </c>
      <c r="AO121" s="215">
        <v>95058</v>
      </c>
      <c r="AP121" s="215">
        <v>93093</v>
      </c>
      <c r="AQ121" s="216">
        <v>91672</v>
      </c>
    </row>
    <row r="122" spans="11:43" ht="15.6" thickTop="1" thickBot="1" x14ac:dyDescent="0.35"/>
    <row r="123" spans="11:43" ht="15" thickTop="1" x14ac:dyDescent="0.3">
      <c r="K123" s="207" t="s">
        <v>318</v>
      </c>
      <c r="L123" s="205"/>
      <c r="M123" s="205"/>
      <c r="N123" s="205"/>
      <c r="O123" s="205"/>
      <c r="P123" s="205"/>
      <c r="Q123" s="205"/>
      <c r="R123" s="205"/>
      <c r="S123" s="205"/>
      <c r="T123" s="205"/>
      <c r="U123" s="205"/>
      <c r="V123" s="205"/>
      <c r="W123" s="205"/>
      <c r="X123" s="205"/>
      <c r="Y123" s="205"/>
      <c r="Z123" s="205"/>
      <c r="AA123" s="205"/>
      <c r="AB123" s="205"/>
      <c r="AC123" s="205"/>
      <c r="AD123" s="205"/>
      <c r="AE123" s="205"/>
      <c r="AF123" s="205"/>
      <c r="AG123" s="205"/>
      <c r="AH123" s="205"/>
      <c r="AI123" s="205"/>
      <c r="AJ123" s="205"/>
      <c r="AK123" s="205"/>
      <c r="AL123" s="205"/>
      <c r="AM123" s="205"/>
      <c r="AN123" s="205"/>
      <c r="AO123" s="205"/>
      <c r="AP123" s="205"/>
      <c r="AQ123" s="211"/>
    </row>
    <row r="124" spans="11:43" x14ac:dyDescent="0.3">
      <c r="K124" s="208" t="s">
        <v>333</v>
      </c>
      <c r="L124" s="204">
        <v>1.2</v>
      </c>
      <c r="M124" s="204">
        <v>1.4</v>
      </c>
      <c r="N124" s="204">
        <v>1.6</v>
      </c>
      <c r="O124" s="204">
        <v>1.8</v>
      </c>
      <c r="P124" s="204">
        <v>2</v>
      </c>
      <c r="Q124" s="204">
        <v>2.2000000000000002</v>
      </c>
      <c r="R124" s="204">
        <v>2.4000000000000004</v>
      </c>
      <c r="S124" s="204">
        <v>2.6</v>
      </c>
      <c r="T124" s="204">
        <v>2.8</v>
      </c>
      <c r="U124" s="204">
        <v>3</v>
      </c>
      <c r="V124" s="204">
        <v>3.2</v>
      </c>
      <c r="W124" s="204">
        <v>3.4000000000000004</v>
      </c>
      <c r="X124" s="204">
        <v>3.6000000000000005</v>
      </c>
      <c r="Y124" s="204">
        <v>3.8</v>
      </c>
      <c r="Z124" s="204">
        <v>4</v>
      </c>
      <c r="AA124" s="204">
        <v>4.2</v>
      </c>
      <c r="AB124" s="204">
        <v>4.4000000000000004</v>
      </c>
      <c r="AC124" s="204">
        <v>4.6000000000000005</v>
      </c>
      <c r="AD124" s="204">
        <v>4.8</v>
      </c>
      <c r="AE124" s="204">
        <v>5</v>
      </c>
      <c r="AF124" s="204">
        <v>5.2</v>
      </c>
      <c r="AG124" s="204">
        <v>5.4</v>
      </c>
      <c r="AH124" s="204">
        <v>5.6000000000000005</v>
      </c>
      <c r="AI124" s="204">
        <v>5.8000000000000007</v>
      </c>
      <c r="AJ124" s="204">
        <v>6.0000000000000009</v>
      </c>
      <c r="AK124" s="204">
        <v>6.2</v>
      </c>
      <c r="AL124" s="204">
        <v>6.4</v>
      </c>
      <c r="AM124" s="204">
        <v>6.6000000000000005</v>
      </c>
      <c r="AN124" s="204">
        <v>6.8000000000000007</v>
      </c>
      <c r="AO124" s="204">
        <v>7.0000000000000009</v>
      </c>
      <c r="AP124" s="204">
        <v>7.2</v>
      </c>
      <c r="AQ124" s="212">
        <v>7.4</v>
      </c>
    </row>
    <row r="125" spans="11:43" x14ac:dyDescent="0.3">
      <c r="K125" s="208" t="s">
        <v>81</v>
      </c>
      <c r="L125" s="217">
        <v>17964.86</v>
      </c>
      <c r="M125" s="217">
        <v>23548.400000000001</v>
      </c>
      <c r="N125" s="217">
        <v>28339.11</v>
      </c>
      <c r="O125" s="217">
        <v>33088.980000000003</v>
      </c>
      <c r="P125" s="217">
        <v>36498.46</v>
      </c>
      <c r="Q125" s="217">
        <v>39893.760000000002</v>
      </c>
      <c r="R125" s="217">
        <v>43275.03</v>
      </c>
      <c r="S125" s="217">
        <v>46642.38</v>
      </c>
      <c r="T125" s="217">
        <v>50004.59</v>
      </c>
      <c r="U125" s="217">
        <v>53345.05</v>
      </c>
      <c r="V125" s="217">
        <v>56671.97</v>
      </c>
      <c r="W125" s="217">
        <v>59995.72</v>
      </c>
      <c r="X125" s="217">
        <v>63307.23</v>
      </c>
      <c r="Y125" s="217">
        <v>66606.600000000006</v>
      </c>
      <c r="Z125" s="217">
        <v>69893.919999999998</v>
      </c>
      <c r="AA125" s="217">
        <v>73169.3</v>
      </c>
      <c r="AB125" s="217">
        <v>76445.649999999994</v>
      </c>
      <c r="AC125" s="217">
        <v>79697.94</v>
      </c>
      <c r="AD125" s="217">
        <v>82952.38</v>
      </c>
      <c r="AE125" s="217">
        <v>86196.23</v>
      </c>
      <c r="AF125" s="217">
        <v>89429.58</v>
      </c>
      <c r="AG125" s="217">
        <v>92652.5</v>
      </c>
      <c r="AH125" s="217">
        <v>95880.81</v>
      </c>
      <c r="AI125" s="217">
        <v>99099.81</v>
      </c>
      <c r="AJ125" s="217">
        <v>102309.54</v>
      </c>
      <c r="AK125" s="204">
        <v>105510.07</v>
      </c>
      <c r="AL125" s="204">
        <v>108719.12</v>
      </c>
      <c r="AM125" s="204">
        <v>111901.89</v>
      </c>
      <c r="AN125" s="204">
        <v>115112.82</v>
      </c>
      <c r="AO125" s="204">
        <v>118297.58</v>
      </c>
      <c r="AP125" s="204">
        <v>121474.32</v>
      </c>
      <c r="AQ125" s="212">
        <v>124683.1</v>
      </c>
    </row>
    <row r="126" spans="11:43" x14ac:dyDescent="0.3">
      <c r="K126" s="209"/>
      <c r="L126" s="189"/>
      <c r="M126" s="189"/>
      <c r="N126" s="189"/>
      <c r="O126" s="189"/>
      <c r="P126" s="189"/>
      <c r="Q126" s="189"/>
      <c r="R126" s="189"/>
      <c r="S126" s="189"/>
      <c r="T126" s="189"/>
      <c r="U126" s="189"/>
      <c r="V126" s="189"/>
      <c r="W126" s="189"/>
      <c r="X126" s="189"/>
      <c r="Y126" s="189"/>
      <c r="Z126" s="189"/>
      <c r="AA126" s="189"/>
      <c r="AB126" s="189"/>
      <c r="AC126" s="189"/>
      <c r="AD126" s="189"/>
      <c r="AE126" s="189"/>
      <c r="AF126" s="189"/>
      <c r="AG126" s="189"/>
      <c r="AH126" s="189"/>
      <c r="AI126" s="189"/>
      <c r="AJ126" s="189"/>
      <c r="AK126" s="189"/>
      <c r="AL126" s="189"/>
      <c r="AM126" s="189"/>
      <c r="AN126" s="189"/>
      <c r="AO126" s="189"/>
      <c r="AP126" s="189"/>
      <c r="AQ126" s="213"/>
    </row>
    <row r="127" spans="11:43" x14ac:dyDescent="0.3">
      <c r="K127" s="208" t="s">
        <v>325</v>
      </c>
      <c r="L127" s="189"/>
      <c r="M127" s="189"/>
      <c r="N127" s="189"/>
      <c r="O127" s="189"/>
      <c r="P127" s="189"/>
      <c r="Q127" s="189"/>
      <c r="R127" s="189"/>
      <c r="S127" s="189"/>
      <c r="T127" s="189"/>
      <c r="U127" s="189"/>
      <c r="V127" s="189"/>
      <c r="W127" s="189"/>
      <c r="X127" s="189"/>
      <c r="Y127" s="189"/>
      <c r="Z127" s="189"/>
      <c r="AA127" s="189"/>
      <c r="AB127" s="189"/>
      <c r="AC127" s="189"/>
      <c r="AD127" s="189"/>
      <c r="AE127" s="189"/>
      <c r="AF127" s="189"/>
      <c r="AG127" s="189"/>
      <c r="AH127" s="189"/>
      <c r="AI127" s="189"/>
      <c r="AJ127" s="189"/>
      <c r="AK127" s="189"/>
      <c r="AL127" s="189"/>
      <c r="AM127" s="189"/>
      <c r="AN127" s="189"/>
      <c r="AO127" s="189"/>
      <c r="AP127" s="189"/>
      <c r="AQ127" s="213"/>
    </row>
    <row r="128" spans="11:43" x14ac:dyDescent="0.3">
      <c r="K128" s="208" t="s">
        <v>335</v>
      </c>
      <c r="L128" s="204">
        <v>1.2</v>
      </c>
      <c r="M128" s="204">
        <v>1.4</v>
      </c>
      <c r="N128" s="204">
        <v>1.6</v>
      </c>
      <c r="O128" s="204">
        <v>1.8</v>
      </c>
      <c r="P128" s="204">
        <v>2</v>
      </c>
      <c r="Q128" s="204">
        <v>2.2000000000000002</v>
      </c>
      <c r="R128" s="204">
        <v>2.4000000000000004</v>
      </c>
      <c r="S128" s="204">
        <v>2.6</v>
      </c>
      <c r="T128" s="204">
        <v>2.8</v>
      </c>
      <c r="U128" s="204">
        <v>3</v>
      </c>
      <c r="V128" s="204">
        <v>3.2</v>
      </c>
      <c r="W128" s="204">
        <v>3.4000000000000004</v>
      </c>
      <c r="X128" s="204">
        <v>3.6000000000000005</v>
      </c>
      <c r="Y128" s="204">
        <v>3.8</v>
      </c>
      <c r="Z128" s="204">
        <v>4</v>
      </c>
      <c r="AA128" s="204">
        <v>4.2</v>
      </c>
      <c r="AB128" s="204">
        <v>4.4000000000000004</v>
      </c>
      <c r="AC128" s="204">
        <v>4.6000000000000005</v>
      </c>
      <c r="AD128" s="204">
        <v>4.8</v>
      </c>
      <c r="AE128" s="204">
        <v>5</v>
      </c>
      <c r="AF128" s="204">
        <v>5.2</v>
      </c>
      <c r="AG128" s="204">
        <v>5.4</v>
      </c>
      <c r="AH128" s="204">
        <v>5.6000000000000005</v>
      </c>
      <c r="AI128" s="204">
        <v>5.8000000000000007</v>
      </c>
      <c r="AJ128" s="204">
        <v>6.0000000000000009</v>
      </c>
      <c r="AK128" s="204">
        <v>6.2</v>
      </c>
      <c r="AL128" s="204">
        <v>6.4</v>
      </c>
      <c r="AM128" s="204">
        <v>6.6000000000000005</v>
      </c>
      <c r="AN128" s="204">
        <v>6.8000000000000007</v>
      </c>
      <c r="AO128" s="204">
        <v>7.0000000000000009</v>
      </c>
      <c r="AP128" s="204">
        <v>7.2</v>
      </c>
      <c r="AQ128" s="212">
        <v>7.4</v>
      </c>
    </row>
    <row r="129" spans="11:43" x14ac:dyDescent="0.3">
      <c r="K129" s="208" t="s">
        <v>81</v>
      </c>
      <c r="L129" s="204">
        <v>248229</v>
      </c>
      <c r="M129" s="204">
        <v>288796</v>
      </c>
      <c r="N129" s="204">
        <v>329004</v>
      </c>
      <c r="O129" s="204">
        <v>370034</v>
      </c>
      <c r="P129" s="204">
        <v>412036</v>
      </c>
      <c r="Q129" s="204">
        <v>454183</v>
      </c>
      <c r="R129" s="204">
        <v>496881</v>
      </c>
      <c r="S129" s="204">
        <v>540734</v>
      </c>
      <c r="T129" s="204">
        <v>583974</v>
      </c>
      <c r="U129" s="204">
        <v>627694</v>
      </c>
      <c r="V129" s="204">
        <v>673405</v>
      </c>
      <c r="W129" s="204">
        <v>718218</v>
      </c>
      <c r="X129" s="204">
        <v>763537</v>
      </c>
      <c r="Y129" s="204">
        <v>811219</v>
      </c>
      <c r="Z129" s="204">
        <v>857695</v>
      </c>
      <c r="AA129" s="204">
        <v>904708</v>
      </c>
      <c r="AB129" s="204">
        <v>953373</v>
      </c>
      <c r="AC129" s="204">
        <v>1000380</v>
      </c>
      <c r="AD129" s="204">
        <v>1049058</v>
      </c>
      <c r="AE129" s="204">
        <v>1099609</v>
      </c>
      <c r="AF129" s="204">
        <v>1148148</v>
      </c>
      <c r="AG129" s="204">
        <v>1198581</v>
      </c>
      <c r="AH129" s="204">
        <v>1249620</v>
      </c>
      <c r="AI129" s="204">
        <v>1299705</v>
      </c>
      <c r="AJ129" s="204">
        <v>1351916</v>
      </c>
      <c r="AK129" s="204">
        <v>1404766</v>
      </c>
      <c r="AL129" s="204">
        <v>1456475</v>
      </c>
      <c r="AM129" s="204">
        <v>1508694</v>
      </c>
      <c r="AN129" s="204">
        <v>1563371</v>
      </c>
      <c r="AO129" s="204">
        <v>1614695</v>
      </c>
      <c r="AP129" s="204">
        <v>1668493</v>
      </c>
      <c r="AQ129" s="212">
        <v>1725005</v>
      </c>
    </row>
    <row r="130" spans="11:43" x14ac:dyDescent="0.3">
      <c r="K130" s="209"/>
      <c r="L130" s="189"/>
      <c r="M130" s="189"/>
      <c r="N130" s="189"/>
      <c r="O130" s="189"/>
      <c r="P130" s="189"/>
      <c r="Q130" s="189"/>
      <c r="R130" s="189"/>
      <c r="S130" s="189"/>
      <c r="T130" s="189"/>
      <c r="U130" s="189"/>
      <c r="V130" s="189"/>
      <c r="W130" s="189"/>
      <c r="X130" s="189"/>
      <c r="Y130" s="189"/>
      <c r="Z130" s="189"/>
      <c r="AA130" s="189"/>
      <c r="AB130" s="189"/>
      <c r="AC130" s="189"/>
      <c r="AD130" s="189"/>
      <c r="AE130" s="189"/>
      <c r="AF130" s="189"/>
      <c r="AG130" s="189"/>
      <c r="AH130" s="189"/>
      <c r="AI130" s="189"/>
      <c r="AJ130" s="189"/>
      <c r="AK130" s="189"/>
      <c r="AL130" s="189"/>
      <c r="AM130" s="189"/>
      <c r="AN130" s="189"/>
      <c r="AO130" s="189"/>
      <c r="AP130" s="189"/>
      <c r="AQ130" s="213"/>
    </row>
    <row r="131" spans="11:43" x14ac:dyDescent="0.3">
      <c r="K131" s="208" t="s">
        <v>331</v>
      </c>
      <c r="L131" s="189"/>
      <c r="M131" s="189"/>
      <c r="N131" s="189"/>
      <c r="O131" s="189"/>
      <c r="P131" s="189"/>
      <c r="Q131" s="189"/>
      <c r="R131" s="189"/>
      <c r="S131" s="189"/>
      <c r="T131" s="189"/>
      <c r="U131" s="189"/>
      <c r="V131" s="189"/>
      <c r="W131" s="189"/>
      <c r="X131" s="189"/>
      <c r="Y131" s="189"/>
      <c r="Z131" s="189"/>
      <c r="AA131" s="189"/>
      <c r="AB131" s="189"/>
      <c r="AC131" s="189"/>
      <c r="AD131" s="189"/>
      <c r="AE131" s="189"/>
      <c r="AF131" s="189"/>
      <c r="AG131" s="189"/>
      <c r="AH131" s="189"/>
      <c r="AI131" s="189"/>
      <c r="AJ131" s="189"/>
      <c r="AK131" s="189"/>
      <c r="AL131" s="189"/>
      <c r="AM131" s="189"/>
      <c r="AN131" s="189"/>
      <c r="AO131" s="189"/>
      <c r="AP131" s="189"/>
      <c r="AQ131" s="213"/>
    </row>
    <row r="132" spans="11:43" x14ac:dyDescent="0.3">
      <c r="K132" s="208" t="s">
        <v>335</v>
      </c>
      <c r="L132" s="204">
        <v>0.9</v>
      </c>
      <c r="M132" s="204">
        <v>0.9</v>
      </c>
      <c r="N132" s="204">
        <v>0.9</v>
      </c>
      <c r="O132" s="204">
        <v>0.9</v>
      </c>
      <c r="P132" s="204">
        <v>0.9</v>
      </c>
      <c r="Q132" s="204">
        <v>0.9</v>
      </c>
      <c r="R132" s="204">
        <v>0.9</v>
      </c>
      <c r="S132" s="204">
        <v>0.9</v>
      </c>
      <c r="T132" s="204">
        <v>0.9</v>
      </c>
      <c r="U132" s="204">
        <v>0.9</v>
      </c>
      <c r="V132" s="204">
        <v>0.9</v>
      </c>
      <c r="W132" s="204">
        <v>0.9</v>
      </c>
      <c r="X132" s="204">
        <v>0.9</v>
      </c>
      <c r="Y132" s="204">
        <v>0.9</v>
      </c>
      <c r="Z132" s="204">
        <v>0.9</v>
      </c>
      <c r="AA132" s="204">
        <v>0.9</v>
      </c>
      <c r="AB132" s="204">
        <v>0.9</v>
      </c>
      <c r="AC132" s="204">
        <v>0.9</v>
      </c>
      <c r="AD132" s="204">
        <v>0.9</v>
      </c>
      <c r="AE132" s="204">
        <v>0.9</v>
      </c>
      <c r="AF132" s="204">
        <v>0.9</v>
      </c>
      <c r="AG132" s="204">
        <v>0.9</v>
      </c>
      <c r="AH132" s="204">
        <v>0.9</v>
      </c>
      <c r="AI132" s="204">
        <v>0.9</v>
      </c>
      <c r="AJ132" s="204">
        <v>0.9</v>
      </c>
      <c r="AK132" s="204">
        <v>0.9</v>
      </c>
      <c r="AL132" s="204">
        <v>0.9</v>
      </c>
      <c r="AM132" s="204">
        <v>0.9</v>
      </c>
      <c r="AN132" s="204">
        <v>0.9</v>
      </c>
      <c r="AO132" s="204">
        <v>0.9</v>
      </c>
      <c r="AP132" s="204">
        <v>0.9</v>
      </c>
      <c r="AQ132" s="212">
        <v>0.9</v>
      </c>
    </row>
    <row r="133" spans="11:43" x14ac:dyDescent="0.3">
      <c r="K133" s="208" t="s">
        <v>81</v>
      </c>
      <c r="L133" s="189">
        <v>110347</v>
      </c>
      <c r="M133" s="189">
        <v>110347</v>
      </c>
      <c r="N133" s="189">
        <v>110347</v>
      </c>
      <c r="O133" s="189">
        <v>110347</v>
      </c>
      <c r="P133" s="189">
        <v>110347</v>
      </c>
      <c r="Q133" s="189">
        <v>110347</v>
      </c>
      <c r="R133" s="189">
        <v>110347</v>
      </c>
      <c r="S133" s="189">
        <v>110347</v>
      </c>
      <c r="T133" s="189">
        <v>110347</v>
      </c>
      <c r="U133" s="189">
        <v>110347</v>
      </c>
      <c r="V133" s="189">
        <v>110347</v>
      </c>
      <c r="W133" s="189">
        <v>110347</v>
      </c>
      <c r="X133" s="189">
        <v>110347</v>
      </c>
      <c r="Y133" s="189">
        <v>110347</v>
      </c>
      <c r="Z133" s="189">
        <v>110347</v>
      </c>
      <c r="AA133" s="189">
        <v>110347</v>
      </c>
      <c r="AB133" s="189">
        <v>110347</v>
      </c>
      <c r="AC133" s="189">
        <v>110347</v>
      </c>
      <c r="AD133" s="189">
        <v>110347</v>
      </c>
      <c r="AE133" s="189">
        <v>110347</v>
      </c>
      <c r="AF133" s="189">
        <v>110347</v>
      </c>
      <c r="AG133" s="189">
        <v>110347</v>
      </c>
      <c r="AH133" s="189">
        <v>110347</v>
      </c>
      <c r="AI133" s="189">
        <v>110347</v>
      </c>
      <c r="AJ133" s="189">
        <v>110347</v>
      </c>
      <c r="AK133" s="189">
        <v>110347</v>
      </c>
      <c r="AL133" s="189">
        <v>110347</v>
      </c>
      <c r="AM133" s="189">
        <v>110347</v>
      </c>
      <c r="AN133" s="189">
        <v>110347</v>
      </c>
      <c r="AO133" s="189">
        <v>110347</v>
      </c>
      <c r="AP133" s="189">
        <v>110347</v>
      </c>
      <c r="AQ133" s="213">
        <v>110347</v>
      </c>
    </row>
    <row r="134" spans="11:43" x14ac:dyDescent="0.3">
      <c r="K134" s="209"/>
      <c r="L134" s="189"/>
      <c r="M134" s="189"/>
      <c r="N134" s="189"/>
      <c r="O134" s="189"/>
      <c r="P134" s="189"/>
      <c r="Q134" s="189"/>
      <c r="R134" s="189"/>
      <c r="S134" s="189"/>
      <c r="T134" s="189"/>
      <c r="U134" s="189"/>
      <c r="V134" s="189"/>
      <c r="W134" s="189"/>
      <c r="X134" s="189"/>
      <c r="Y134" s="189"/>
      <c r="Z134" s="189"/>
      <c r="AA134" s="189"/>
      <c r="AB134" s="189"/>
      <c r="AC134" s="189"/>
      <c r="AD134" s="189"/>
      <c r="AE134" s="189"/>
      <c r="AF134" s="189"/>
      <c r="AG134" s="189"/>
      <c r="AH134" s="189"/>
      <c r="AI134" s="189"/>
      <c r="AJ134" s="189"/>
      <c r="AK134" s="189"/>
      <c r="AL134" s="189"/>
      <c r="AM134" s="189"/>
      <c r="AN134" s="189"/>
      <c r="AO134" s="189"/>
      <c r="AP134" s="189"/>
      <c r="AQ134" s="213"/>
    </row>
    <row r="135" spans="11:43" x14ac:dyDescent="0.3">
      <c r="K135" s="208" t="s">
        <v>320</v>
      </c>
      <c r="L135" s="189"/>
      <c r="M135" s="189"/>
      <c r="N135" s="189"/>
      <c r="O135" s="189"/>
      <c r="P135" s="189"/>
      <c r="Q135" s="189"/>
      <c r="R135" s="189"/>
      <c r="S135" s="189"/>
      <c r="T135" s="189"/>
      <c r="U135" s="189"/>
      <c r="V135" s="189"/>
      <c r="W135" s="189"/>
      <c r="X135" s="189"/>
      <c r="Y135" s="189"/>
      <c r="Z135" s="189"/>
      <c r="AA135" s="189"/>
      <c r="AB135" s="189"/>
      <c r="AC135" s="189"/>
      <c r="AD135" s="189"/>
      <c r="AE135" s="189"/>
      <c r="AF135" s="189"/>
      <c r="AG135" s="189"/>
      <c r="AH135" s="189"/>
      <c r="AI135" s="189"/>
      <c r="AJ135" s="189"/>
      <c r="AK135" s="189"/>
      <c r="AL135" s="189"/>
      <c r="AM135" s="189"/>
      <c r="AN135" s="189"/>
      <c r="AO135" s="189"/>
      <c r="AP135" s="189"/>
      <c r="AQ135" s="213"/>
    </row>
    <row r="136" spans="11:43" x14ac:dyDescent="0.3">
      <c r="K136" s="208" t="s">
        <v>333</v>
      </c>
      <c r="L136" s="204">
        <v>1.2</v>
      </c>
      <c r="M136" s="204">
        <v>1.4</v>
      </c>
      <c r="N136" s="204">
        <v>1.6</v>
      </c>
      <c r="O136" s="204">
        <v>1.8</v>
      </c>
      <c r="P136" s="204">
        <v>2</v>
      </c>
      <c r="Q136" s="204">
        <v>2.2000000000000002</v>
      </c>
      <c r="R136" s="204">
        <v>2.4000000000000004</v>
      </c>
      <c r="S136" s="204">
        <v>2.6</v>
      </c>
      <c r="T136" s="204">
        <v>2.8</v>
      </c>
      <c r="U136" s="204">
        <v>3</v>
      </c>
      <c r="V136" s="204">
        <v>3.2</v>
      </c>
      <c r="W136" s="204">
        <v>3.4000000000000004</v>
      </c>
      <c r="X136" s="204">
        <v>3.6000000000000005</v>
      </c>
      <c r="Y136" s="204">
        <v>3.8</v>
      </c>
      <c r="Z136" s="204">
        <v>4</v>
      </c>
      <c r="AA136" s="204">
        <v>4.2</v>
      </c>
      <c r="AB136" s="204">
        <v>4.4000000000000004</v>
      </c>
      <c r="AC136" s="204">
        <v>4.6000000000000005</v>
      </c>
      <c r="AD136" s="204">
        <v>4.8</v>
      </c>
      <c r="AE136" s="204">
        <v>5</v>
      </c>
      <c r="AF136" s="204">
        <v>5.2</v>
      </c>
      <c r="AG136" s="204">
        <v>5.4</v>
      </c>
      <c r="AH136" s="204">
        <v>5.6000000000000005</v>
      </c>
      <c r="AI136" s="204">
        <v>5.8000000000000007</v>
      </c>
      <c r="AJ136" s="204">
        <v>6.0000000000000009</v>
      </c>
      <c r="AK136" s="204">
        <v>6.2</v>
      </c>
      <c r="AL136" s="204">
        <v>6.4</v>
      </c>
      <c r="AM136" s="204">
        <v>6.6000000000000005</v>
      </c>
      <c r="AN136" s="204">
        <v>6.8000000000000007</v>
      </c>
      <c r="AO136" s="204">
        <v>7.0000000000000009</v>
      </c>
      <c r="AP136" s="204">
        <v>7.2</v>
      </c>
      <c r="AQ136" s="212">
        <v>7.4</v>
      </c>
    </row>
    <row r="137" spans="11:43" ht="15" thickBot="1" x14ac:dyDescent="0.35">
      <c r="K137" s="210" t="s">
        <v>81</v>
      </c>
      <c r="L137" s="206">
        <v>519230</v>
      </c>
      <c r="M137" s="206">
        <v>442307</v>
      </c>
      <c r="N137" s="206">
        <v>385235</v>
      </c>
      <c r="O137" s="206">
        <v>337989</v>
      </c>
      <c r="P137" s="206">
        <v>303618</v>
      </c>
      <c r="Q137" s="206">
        <v>275591</v>
      </c>
      <c r="R137" s="206">
        <v>252302</v>
      </c>
      <c r="S137" s="206">
        <v>232642</v>
      </c>
      <c r="T137" s="206">
        <v>217133</v>
      </c>
      <c r="U137" s="206">
        <v>202412</v>
      </c>
      <c r="V137" s="206">
        <v>189560</v>
      </c>
      <c r="W137" s="206">
        <v>179134</v>
      </c>
      <c r="X137" s="206">
        <v>169796</v>
      </c>
      <c r="Y137" s="206">
        <v>161382</v>
      </c>
      <c r="Z137" s="206">
        <v>153763</v>
      </c>
      <c r="AA137" s="206">
        <v>146831</v>
      </c>
      <c r="AB137" s="206">
        <v>141051</v>
      </c>
      <c r="AC137" s="206">
        <v>135196</v>
      </c>
      <c r="AD137" s="206">
        <v>130280</v>
      </c>
      <c r="AE137" s="206">
        <v>125708</v>
      </c>
      <c r="AF137" s="206">
        <v>121447</v>
      </c>
      <c r="AG137" s="206">
        <v>117465</v>
      </c>
      <c r="AH137" s="206">
        <v>114098</v>
      </c>
      <c r="AI137" s="206">
        <v>110919</v>
      </c>
      <c r="AJ137" s="206">
        <v>107912</v>
      </c>
      <c r="AK137" s="215">
        <v>105064</v>
      </c>
      <c r="AL137" s="215">
        <v>102656</v>
      </c>
      <c r="AM137" s="215">
        <v>100075</v>
      </c>
      <c r="AN137" s="215">
        <v>98156</v>
      </c>
      <c r="AO137" s="215">
        <v>96051</v>
      </c>
      <c r="AP137" s="215">
        <v>94034</v>
      </c>
      <c r="AQ137" s="216">
        <v>92576</v>
      </c>
    </row>
    <row r="138" spans="11:43" ht="15.6" thickTop="1" thickBot="1" x14ac:dyDescent="0.35"/>
    <row r="139" spans="11:43" ht="15" thickTop="1" x14ac:dyDescent="0.3">
      <c r="K139" s="207" t="s">
        <v>318</v>
      </c>
      <c r="L139" s="205"/>
      <c r="M139" s="205"/>
      <c r="N139" s="205"/>
      <c r="O139" s="205"/>
      <c r="P139" s="205"/>
      <c r="Q139" s="205"/>
      <c r="R139" s="205"/>
      <c r="S139" s="205"/>
      <c r="T139" s="205"/>
      <c r="U139" s="205"/>
      <c r="V139" s="205"/>
      <c r="W139" s="205"/>
      <c r="X139" s="205"/>
      <c r="Y139" s="205"/>
      <c r="Z139" s="205"/>
      <c r="AA139" s="205"/>
      <c r="AB139" s="205"/>
      <c r="AC139" s="205"/>
      <c r="AD139" s="205"/>
      <c r="AE139" s="205"/>
      <c r="AF139" s="205"/>
      <c r="AG139" s="205"/>
      <c r="AH139" s="205"/>
      <c r="AI139" s="205"/>
      <c r="AJ139" s="205"/>
      <c r="AK139" s="205"/>
      <c r="AL139" s="205"/>
      <c r="AM139" s="205"/>
      <c r="AN139" s="205"/>
      <c r="AO139" s="205"/>
      <c r="AP139" s="205"/>
      <c r="AQ139" s="211"/>
    </row>
    <row r="140" spans="11:43" x14ac:dyDescent="0.3">
      <c r="K140" s="208" t="s">
        <v>333</v>
      </c>
      <c r="L140" s="204">
        <v>1.2</v>
      </c>
      <c r="M140" s="204">
        <v>1.4</v>
      </c>
      <c r="N140" s="204">
        <v>1.6</v>
      </c>
      <c r="O140" s="204">
        <v>1.8</v>
      </c>
      <c r="P140" s="204">
        <v>2</v>
      </c>
      <c r="Q140" s="204">
        <v>2.2000000000000002</v>
      </c>
      <c r="R140" s="204">
        <v>2.4000000000000004</v>
      </c>
      <c r="S140" s="204">
        <v>2.6</v>
      </c>
      <c r="T140" s="204">
        <v>2.8</v>
      </c>
      <c r="U140" s="204">
        <v>3</v>
      </c>
      <c r="V140" s="204">
        <v>3.2</v>
      </c>
      <c r="W140" s="204">
        <v>3.4000000000000004</v>
      </c>
      <c r="X140" s="204">
        <v>3.6000000000000005</v>
      </c>
      <c r="Y140" s="204">
        <v>3.8</v>
      </c>
      <c r="Z140" s="204">
        <v>4</v>
      </c>
      <c r="AA140" s="204">
        <v>4.2</v>
      </c>
      <c r="AB140" s="204">
        <v>4.4000000000000004</v>
      </c>
      <c r="AC140" s="204">
        <v>4.6000000000000005</v>
      </c>
      <c r="AD140" s="204">
        <v>4.8</v>
      </c>
      <c r="AE140" s="204">
        <v>5</v>
      </c>
      <c r="AF140" s="204">
        <v>5.2</v>
      </c>
      <c r="AG140" s="204">
        <v>5.4</v>
      </c>
      <c r="AH140" s="204">
        <v>5.6000000000000005</v>
      </c>
      <c r="AI140" s="204">
        <v>5.8000000000000007</v>
      </c>
      <c r="AJ140" s="204">
        <v>6.0000000000000009</v>
      </c>
      <c r="AK140" s="204">
        <v>6.2</v>
      </c>
      <c r="AL140" s="204">
        <v>6.4</v>
      </c>
      <c r="AM140" s="204">
        <v>6.6000000000000005</v>
      </c>
      <c r="AN140" s="204">
        <v>6.8000000000000007</v>
      </c>
      <c r="AO140" s="204">
        <v>7.0000000000000009</v>
      </c>
      <c r="AP140" s="204">
        <v>7.2</v>
      </c>
      <c r="AQ140" s="212">
        <v>7.4</v>
      </c>
    </row>
    <row r="141" spans="11:43" x14ac:dyDescent="0.3">
      <c r="K141" s="208" t="s">
        <v>81</v>
      </c>
      <c r="L141" s="217">
        <v>15269</v>
      </c>
      <c r="M141" s="217">
        <v>21849.72</v>
      </c>
      <c r="N141" s="217">
        <v>27142.84</v>
      </c>
      <c r="O141" s="217">
        <v>31828.33</v>
      </c>
      <c r="P141" s="217">
        <v>36543.39</v>
      </c>
      <c r="Q141" s="217">
        <v>39935.67</v>
      </c>
      <c r="R141" s="217">
        <v>43320.3</v>
      </c>
      <c r="S141" s="217">
        <v>46690.98</v>
      </c>
      <c r="T141" s="217">
        <v>50056.49</v>
      </c>
      <c r="U141" s="217">
        <v>53400.19</v>
      </c>
      <c r="V141" s="217">
        <v>56730.31</v>
      </c>
      <c r="W141" s="217">
        <v>60057.25</v>
      </c>
      <c r="X141" s="217">
        <v>63371.91</v>
      </c>
      <c r="Y141" s="217">
        <v>66674.39</v>
      </c>
      <c r="Z141" s="217">
        <v>69952.97</v>
      </c>
      <c r="AA141" s="217">
        <v>73243.23</v>
      </c>
      <c r="AB141" s="217">
        <v>76509.78</v>
      </c>
      <c r="AC141" s="217">
        <v>79777.89</v>
      </c>
      <c r="AD141" s="217">
        <v>83035.320000000007</v>
      </c>
      <c r="AE141" s="217">
        <v>86282.13</v>
      </c>
      <c r="AF141" s="217">
        <v>89518.399999999994</v>
      </c>
      <c r="AG141" s="217">
        <v>92744.22</v>
      </c>
      <c r="AH141" s="217">
        <v>95975.45</v>
      </c>
      <c r="AI141" s="217">
        <v>99181.06</v>
      </c>
      <c r="AJ141" s="217">
        <v>102393.17</v>
      </c>
      <c r="AK141" s="217">
        <v>105613.3</v>
      </c>
      <c r="AL141" s="204">
        <v>108807.5</v>
      </c>
      <c r="AM141" s="204">
        <v>112010.77</v>
      </c>
      <c r="AN141" s="204">
        <v>115205.92</v>
      </c>
      <c r="AO141" s="204">
        <v>118393</v>
      </c>
      <c r="AP141" s="204">
        <v>121572.06</v>
      </c>
      <c r="AQ141" s="212">
        <v>124783.22</v>
      </c>
    </row>
    <row r="142" spans="11:43" x14ac:dyDescent="0.3">
      <c r="K142" s="209"/>
      <c r="L142" s="189"/>
      <c r="M142" s="189"/>
      <c r="N142" s="189"/>
      <c r="O142" s="189"/>
      <c r="P142" s="189"/>
      <c r="Q142" s="189"/>
      <c r="R142" s="189"/>
      <c r="S142" s="189"/>
      <c r="T142" s="189"/>
      <c r="U142" s="189"/>
      <c r="V142" s="189"/>
      <c r="W142" s="189"/>
      <c r="X142" s="189"/>
      <c r="Y142" s="189"/>
      <c r="Z142" s="189"/>
      <c r="AA142" s="189"/>
      <c r="AB142" s="189"/>
      <c r="AC142" s="189"/>
      <c r="AD142" s="189"/>
      <c r="AE142" s="189"/>
      <c r="AF142" s="189"/>
      <c r="AG142" s="189"/>
      <c r="AH142" s="189"/>
      <c r="AI142" s="189"/>
      <c r="AJ142" s="189"/>
      <c r="AK142" s="189"/>
      <c r="AL142" s="189"/>
      <c r="AM142" s="189"/>
      <c r="AN142" s="189"/>
      <c r="AO142" s="189"/>
      <c r="AP142" s="189"/>
      <c r="AQ142" s="213"/>
    </row>
    <row r="143" spans="11:43" x14ac:dyDescent="0.3">
      <c r="K143" s="208" t="s">
        <v>325</v>
      </c>
      <c r="L143" s="189"/>
      <c r="M143" s="189"/>
      <c r="N143" s="189"/>
      <c r="O143" s="189"/>
      <c r="P143" s="189"/>
      <c r="Q143" s="189"/>
      <c r="R143" s="189"/>
      <c r="S143" s="189"/>
      <c r="T143" s="189"/>
      <c r="U143" s="189"/>
      <c r="V143" s="189"/>
      <c r="W143" s="189"/>
      <c r="X143" s="189"/>
      <c r="Y143" s="189"/>
      <c r="Z143" s="189"/>
      <c r="AA143" s="189"/>
      <c r="AB143" s="189"/>
      <c r="AC143" s="189"/>
      <c r="AD143" s="189"/>
      <c r="AE143" s="189"/>
      <c r="AF143" s="189"/>
      <c r="AG143" s="189"/>
      <c r="AH143" s="189"/>
      <c r="AI143" s="189"/>
      <c r="AJ143" s="189"/>
      <c r="AK143" s="189"/>
      <c r="AL143" s="189"/>
      <c r="AM143" s="189"/>
      <c r="AN143" s="189"/>
      <c r="AO143" s="189"/>
      <c r="AP143" s="189"/>
      <c r="AQ143" s="213"/>
    </row>
    <row r="144" spans="11:43" x14ac:dyDescent="0.3">
      <c r="K144" s="208" t="s">
        <v>335</v>
      </c>
      <c r="L144" s="204">
        <v>1.2</v>
      </c>
      <c r="M144" s="204">
        <v>1.4</v>
      </c>
      <c r="N144" s="204">
        <v>1.6</v>
      </c>
      <c r="O144" s="204">
        <v>1.8</v>
      </c>
      <c r="P144" s="204">
        <v>2</v>
      </c>
      <c r="Q144" s="204">
        <v>2.2000000000000002</v>
      </c>
      <c r="R144" s="204">
        <v>2.4000000000000004</v>
      </c>
      <c r="S144" s="204">
        <v>2.6</v>
      </c>
      <c r="T144" s="204">
        <v>2.8</v>
      </c>
      <c r="U144" s="204">
        <v>3</v>
      </c>
      <c r="V144" s="204">
        <v>3.2</v>
      </c>
      <c r="W144" s="204">
        <v>3.4000000000000004</v>
      </c>
      <c r="X144" s="204">
        <v>3.6000000000000005</v>
      </c>
      <c r="Y144" s="204">
        <v>3.8</v>
      </c>
      <c r="Z144" s="204">
        <v>4</v>
      </c>
      <c r="AA144" s="204">
        <v>4.2</v>
      </c>
      <c r="AB144" s="204">
        <v>4.4000000000000004</v>
      </c>
      <c r="AC144" s="204">
        <v>4.6000000000000005</v>
      </c>
      <c r="AD144" s="204">
        <v>4.8</v>
      </c>
      <c r="AE144" s="204">
        <v>5</v>
      </c>
      <c r="AF144" s="204">
        <v>5.2</v>
      </c>
      <c r="AG144" s="204">
        <v>5.4</v>
      </c>
      <c r="AH144" s="204">
        <v>5.6000000000000005</v>
      </c>
      <c r="AI144" s="204">
        <v>5.8000000000000007</v>
      </c>
      <c r="AJ144" s="204">
        <v>6.0000000000000009</v>
      </c>
      <c r="AK144" s="204">
        <v>6.2</v>
      </c>
      <c r="AL144" s="204">
        <v>6.4</v>
      </c>
      <c r="AM144" s="204">
        <v>6.6000000000000005</v>
      </c>
      <c r="AN144" s="204">
        <v>6.8000000000000007</v>
      </c>
      <c r="AO144" s="204">
        <v>7.0000000000000009</v>
      </c>
      <c r="AP144" s="204">
        <v>7.2</v>
      </c>
      <c r="AQ144" s="212">
        <v>7.4</v>
      </c>
    </row>
    <row r="145" spans="11:43" x14ac:dyDescent="0.3">
      <c r="K145" s="208" t="s">
        <v>81</v>
      </c>
      <c r="L145" s="204">
        <v>248229</v>
      </c>
      <c r="M145" s="204">
        <v>288796</v>
      </c>
      <c r="N145" s="204">
        <v>329004</v>
      </c>
      <c r="O145" s="204">
        <v>370034</v>
      </c>
      <c r="P145" s="204">
        <v>412036</v>
      </c>
      <c r="Q145" s="204">
        <v>454183</v>
      </c>
      <c r="R145" s="204">
        <v>496881</v>
      </c>
      <c r="S145" s="204">
        <v>540734</v>
      </c>
      <c r="T145" s="204">
        <v>583974</v>
      </c>
      <c r="U145" s="204">
        <v>627694</v>
      </c>
      <c r="V145" s="204">
        <v>673405</v>
      </c>
      <c r="W145" s="204">
        <v>718218</v>
      </c>
      <c r="X145" s="204">
        <v>763537</v>
      </c>
      <c r="Y145" s="204">
        <v>811219</v>
      </c>
      <c r="Z145" s="204">
        <v>857695</v>
      </c>
      <c r="AA145" s="204">
        <v>904708</v>
      </c>
      <c r="AB145" s="204">
        <v>953373</v>
      </c>
      <c r="AC145" s="204">
        <v>1000380</v>
      </c>
      <c r="AD145" s="204">
        <v>1049058</v>
      </c>
      <c r="AE145" s="204">
        <v>1099609</v>
      </c>
      <c r="AF145" s="204">
        <v>1148148</v>
      </c>
      <c r="AG145" s="204">
        <v>1198581</v>
      </c>
      <c r="AH145" s="204">
        <v>1249620</v>
      </c>
      <c r="AI145" s="204">
        <v>1299705</v>
      </c>
      <c r="AJ145" s="204">
        <v>1351916</v>
      </c>
      <c r="AK145" s="204">
        <v>1404766</v>
      </c>
      <c r="AL145" s="204">
        <v>1456475</v>
      </c>
      <c r="AM145" s="204">
        <v>1508694</v>
      </c>
      <c r="AN145" s="204">
        <v>1563371</v>
      </c>
      <c r="AO145" s="204">
        <v>1614695</v>
      </c>
      <c r="AP145" s="204">
        <v>1668493</v>
      </c>
      <c r="AQ145" s="212">
        <v>1725005</v>
      </c>
    </row>
    <row r="146" spans="11:43" x14ac:dyDescent="0.3">
      <c r="K146" s="209"/>
      <c r="L146" s="189"/>
      <c r="M146" s="189"/>
      <c r="N146" s="189"/>
      <c r="O146" s="189"/>
      <c r="P146" s="189"/>
      <c r="Q146" s="189"/>
      <c r="R146" s="189"/>
      <c r="S146" s="189"/>
      <c r="T146" s="189"/>
      <c r="U146" s="189"/>
      <c r="V146" s="189"/>
      <c r="W146" s="189"/>
      <c r="X146" s="189"/>
      <c r="Y146" s="189"/>
      <c r="Z146" s="189"/>
      <c r="AA146" s="189"/>
      <c r="AB146" s="189"/>
      <c r="AC146" s="189"/>
      <c r="AD146" s="189"/>
      <c r="AE146" s="189"/>
      <c r="AF146" s="189"/>
      <c r="AG146" s="189"/>
      <c r="AH146" s="189"/>
      <c r="AI146" s="189"/>
      <c r="AJ146" s="189"/>
      <c r="AK146" s="189"/>
      <c r="AL146" s="189"/>
      <c r="AM146" s="189"/>
      <c r="AN146" s="189"/>
      <c r="AO146" s="189"/>
      <c r="AP146" s="189"/>
      <c r="AQ146" s="213"/>
    </row>
    <row r="147" spans="11:43" x14ac:dyDescent="0.3">
      <c r="K147" s="208" t="s">
        <v>331</v>
      </c>
      <c r="L147" s="189"/>
      <c r="M147" s="189"/>
      <c r="N147" s="189"/>
      <c r="O147" s="189"/>
      <c r="P147" s="189"/>
      <c r="Q147" s="189"/>
      <c r="R147" s="189"/>
      <c r="S147" s="189"/>
      <c r="T147" s="189"/>
      <c r="U147" s="189"/>
      <c r="V147" s="189"/>
      <c r="W147" s="189"/>
      <c r="X147" s="189"/>
      <c r="Y147" s="189"/>
      <c r="Z147" s="189"/>
      <c r="AA147" s="189"/>
      <c r="AB147" s="189"/>
      <c r="AC147" s="189"/>
      <c r="AD147" s="189"/>
      <c r="AE147" s="189"/>
      <c r="AF147" s="189"/>
      <c r="AG147" s="189"/>
      <c r="AH147" s="189"/>
      <c r="AI147" s="189"/>
      <c r="AJ147" s="189"/>
      <c r="AK147" s="189"/>
      <c r="AL147" s="189"/>
      <c r="AM147" s="189"/>
      <c r="AN147" s="189"/>
      <c r="AO147" s="189"/>
      <c r="AP147" s="189"/>
      <c r="AQ147" s="213"/>
    </row>
    <row r="148" spans="11:43" x14ac:dyDescent="0.3">
      <c r="K148" s="208" t="s">
        <v>335</v>
      </c>
      <c r="L148" s="204">
        <v>1</v>
      </c>
      <c r="M148" s="204">
        <v>1</v>
      </c>
      <c r="N148" s="204">
        <v>1</v>
      </c>
      <c r="O148" s="204">
        <v>1</v>
      </c>
      <c r="P148" s="204">
        <v>1</v>
      </c>
      <c r="Q148" s="204">
        <v>1</v>
      </c>
      <c r="R148" s="204">
        <v>1</v>
      </c>
      <c r="S148" s="204">
        <v>1</v>
      </c>
      <c r="T148" s="204">
        <v>1</v>
      </c>
      <c r="U148" s="204">
        <v>1</v>
      </c>
      <c r="V148" s="204">
        <v>1</v>
      </c>
      <c r="W148" s="204">
        <v>1</v>
      </c>
      <c r="X148" s="204">
        <v>1</v>
      </c>
      <c r="Y148" s="204">
        <v>1</v>
      </c>
      <c r="Z148" s="204">
        <v>1</v>
      </c>
      <c r="AA148" s="204">
        <v>1</v>
      </c>
      <c r="AB148" s="204">
        <v>1</v>
      </c>
      <c r="AC148" s="204">
        <v>1</v>
      </c>
      <c r="AD148" s="204">
        <v>1</v>
      </c>
      <c r="AE148" s="204">
        <v>1</v>
      </c>
      <c r="AF148" s="204">
        <v>1</v>
      </c>
      <c r="AG148" s="204">
        <v>1</v>
      </c>
      <c r="AH148" s="204">
        <v>1</v>
      </c>
      <c r="AI148" s="204">
        <v>1</v>
      </c>
      <c r="AJ148" s="204">
        <v>1</v>
      </c>
      <c r="AK148" s="204">
        <v>1</v>
      </c>
      <c r="AL148" s="204">
        <v>1</v>
      </c>
      <c r="AM148" s="204">
        <v>1</v>
      </c>
      <c r="AN148" s="204">
        <v>1</v>
      </c>
      <c r="AO148" s="204">
        <v>1</v>
      </c>
      <c r="AP148" s="204">
        <v>1</v>
      </c>
      <c r="AQ148" s="212">
        <v>1</v>
      </c>
    </row>
    <row r="149" spans="11:43" x14ac:dyDescent="0.3">
      <c r="K149" s="208" t="s">
        <v>81</v>
      </c>
      <c r="L149" s="189">
        <v>121746</v>
      </c>
      <c r="M149" s="189">
        <v>121746</v>
      </c>
      <c r="N149" s="189">
        <v>121746</v>
      </c>
      <c r="O149" s="189">
        <v>121746</v>
      </c>
      <c r="P149" s="189">
        <v>121746</v>
      </c>
      <c r="Q149" s="189">
        <v>121746</v>
      </c>
      <c r="R149" s="189">
        <v>121746</v>
      </c>
      <c r="S149" s="189">
        <v>121746</v>
      </c>
      <c r="T149" s="189">
        <v>121746</v>
      </c>
      <c r="U149" s="189">
        <v>121746</v>
      </c>
      <c r="V149" s="189">
        <v>121746</v>
      </c>
      <c r="W149" s="189">
        <v>121746</v>
      </c>
      <c r="X149" s="189">
        <v>121746</v>
      </c>
      <c r="Y149" s="189">
        <v>121746</v>
      </c>
      <c r="Z149" s="189">
        <v>121746</v>
      </c>
      <c r="AA149" s="189">
        <v>121746</v>
      </c>
      <c r="AB149" s="189">
        <v>121746</v>
      </c>
      <c r="AC149" s="189">
        <v>121746</v>
      </c>
      <c r="AD149" s="189">
        <v>121746</v>
      </c>
      <c r="AE149" s="189">
        <v>121746</v>
      </c>
      <c r="AF149" s="189">
        <v>121746</v>
      </c>
      <c r="AG149" s="189">
        <v>121746</v>
      </c>
      <c r="AH149" s="189">
        <v>121746</v>
      </c>
      <c r="AI149" s="189">
        <v>121746</v>
      </c>
      <c r="AJ149" s="189">
        <v>121746</v>
      </c>
      <c r="AK149" s="189">
        <v>121746</v>
      </c>
      <c r="AL149" s="189">
        <v>121746</v>
      </c>
      <c r="AM149" s="189">
        <v>121746</v>
      </c>
      <c r="AN149" s="189">
        <v>121746</v>
      </c>
      <c r="AO149" s="189">
        <v>121746</v>
      </c>
      <c r="AP149" s="189">
        <v>121746</v>
      </c>
      <c r="AQ149" s="213">
        <v>121746</v>
      </c>
    </row>
    <row r="150" spans="11:43" x14ac:dyDescent="0.3">
      <c r="K150" s="209"/>
      <c r="L150" s="189"/>
      <c r="M150" s="189"/>
      <c r="N150" s="189"/>
      <c r="O150" s="189"/>
      <c r="P150" s="189"/>
      <c r="Q150" s="189"/>
      <c r="R150" s="189"/>
      <c r="S150" s="189"/>
      <c r="T150" s="189"/>
      <c r="U150" s="189"/>
      <c r="V150" s="189"/>
      <c r="W150" s="189"/>
      <c r="X150" s="189"/>
      <c r="Y150" s="189"/>
      <c r="Z150" s="189"/>
      <c r="AA150" s="189"/>
      <c r="AB150" s="189"/>
      <c r="AC150" s="189"/>
      <c r="AD150" s="189"/>
      <c r="AE150" s="189"/>
      <c r="AF150" s="189"/>
      <c r="AG150" s="189"/>
      <c r="AH150" s="189"/>
      <c r="AI150" s="189"/>
      <c r="AJ150" s="189"/>
      <c r="AK150" s="189"/>
      <c r="AL150" s="189"/>
      <c r="AM150" s="189"/>
      <c r="AN150" s="189"/>
      <c r="AO150" s="189"/>
      <c r="AP150" s="189"/>
      <c r="AQ150" s="213"/>
    </row>
    <row r="151" spans="11:43" x14ac:dyDescent="0.3">
      <c r="K151" s="208" t="s">
        <v>320</v>
      </c>
      <c r="L151" s="189"/>
      <c r="M151" s="189"/>
      <c r="N151" s="189"/>
      <c r="O151" s="189"/>
      <c r="P151" s="189"/>
      <c r="Q151" s="189"/>
      <c r="R151" s="189"/>
      <c r="S151" s="189"/>
      <c r="T151" s="189"/>
      <c r="U151" s="189"/>
      <c r="V151" s="189"/>
      <c r="W151" s="189"/>
      <c r="X151" s="189"/>
      <c r="Y151" s="189"/>
      <c r="Z151" s="189"/>
      <c r="AA151" s="189"/>
      <c r="AB151" s="189"/>
      <c r="AC151" s="189"/>
      <c r="AD151" s="189"/>
      <c r="AE151" s="189"/>
      <c r="AF151" s="189"/>
      <c r="AG151" s="189"/>
      <c r="AH151" s="189"/>
      <c r="AI151" s="189"/>
      <c r="AJ151" s="189"/>
      <c r="AK151" s="189"/>
      <c r="AL151" s="189"/>
      <c r="AM151" s="189"/>
      <c r="AN151" s="189"/>
      <c r="AO151" s="189"/>
      <c r="AP151" s="189"/>
      <c r="AQ151" s="213"/>
    </row>
    <row r="152" spans="11:43" x14ac:dyDescent="0.3">
      <c r="K152" s="208" t="s">
        <v>333</v>
      </c>
      <c r="L152" s="204">
        <v>1.2</v>
      </c>
      <c r="M152" s="204">
        <v>1.4</v>
      </c>
      <c r="N152" s="204">
        <v>1.6</v>
      </c>
      <c r="O152" s="204">
        <v>1.8</v>
      </c>
      <c r="P152" s="204">
        <v>2</v>
      </c>
      <c r="Q152" s="204">
        <v>2.2000000000000002</v>
      </c>
      <c r="R152" s="204">
        <v>2.4000000000000004</v>
      </c>
      <c r="S152" s="204">
        <v>2.6</v>
      </c>
      <c r="T152" s="204">
        <v>2.8</v>
      </c>
      <c r="U152" s="204">
        <v>3</v>
      </c>
      <c r="V152" s="204">
        <v>3.2</v>
      </c>
      <c r="W152" s="204">
        <v>3.4000000000000004</v>
      </c>
      <c r="X152" s="204">
        <v>3.6000000000000005</v>
      </c>
      <c r="Y152" s="204">
        <v>3.8</v>
      </c>
      <c r="Z152" s="204">
        <v>4</v>
      </c>
      <c r="AA152" s="204">
        <v>4.2</v>
      </c>
      <c r="AB152" s="204">
        <v>4.4000000000000004</v>
      </c>
      <c r="AC152" s="204">
        <v>4.6000000000000005</v>
      </c>
      <c r="AD152" s="204">
        <v>4.8</v>
      </c>
      <c r="AE152" s="204">
        <v>5</v>
      </c>
      <c r="AF152" s="204">
        <v>5.2</v>
      </c>
      <c r="AG152" s="204">
        <v>5.4</v>
      </c>
      <c r="AH152" s="204">
        <v>5.6000000000000005</v>
      </c>
      <c r="AI152" s="204">
        <v>5.8000000000000007</v>
      </c>
      <c r="AJ152" s="204">
        <v>6.0000000000000009</v>
      </c>
      <c r="AK152" s="204">
        <v>6.2</v>
      </c>
      <c r="AL152" s="204">
        <v>6.4</v>
      </c>
      <c r="AM152" s="204">
        <v>6.6000000000000005</v>
      </c>
      <c r="AN152" s="204">
        <v>6.8000000000000007</v>
      </c>
      <c r="AO152" s="204">
        <v>7.0000000000000009</v>
      </c>
      <c r="AP152" s="204">
        <v>7.2</v>
      </c>
      <c r="AQ152" s="212">
        <v>7.4</v>
      </c>
    </row>
    <row r="153" spans="11:43" ht="15" thickBot="1" x14ac:dyDescent="0.35">
      <c r="K153" s="210" t="s">
        <v>81</v>
      </c>
      <c r="L153" s="206">
        <v>574660</v>
      </c>
      <c r="M153" s="206">
        <v>475053</v>
      </c>
      <c r="N153" s="206">
        <v>409528</v>
      </c>
      <c r="O153" s="206">
        <v>359888</v>
      </c>
      <c r="P153" s="206">
        <v>320981</v>
      </c>
      <c r="Q153" s="206">
        <v>287330</v>
      </c>
      <c r="R153" s="206">
        <v>261978</v>
      </c>
      <c r="S153" s="206">
        <v>240736</v>
      </c>
      <c r="T153" s="206">
        <v>224081</v>
      </c>
      <c r="U153" s="206">
        <v>208356</v>
      </c>
      <c r="V153" s="206">
        <v>194694</v>
      </c>
      <c r="W153" s="206">
        <v>183654</v>
      </c>
      <c r="X153" s="206">
        <v>173800</v>
      </c>
      <c r="Y153" s="206">
        <v>164949</v>
      </c>
      <c r="Z153" s="206">
        <v>156267</v>
      </c>
      <c r="AA153" s="206">
        <v>149701</v>
      </c>
      <c r="AB153" s="206">
        <v>143088</v>
      </c>
      <c r="AC153" s="206">
        <v>137563</v>
      </c>
      <c r="AD153" s="206">
        <v>132450</v>
      </c>
      <c r="AE153" s="206">
        <v>127702</v>
      </c>
      <c r="AF153" s="206">
        <v>123284</v>
      </c>
      <c r="AG153" s="206">
        <v>119160</v>
      </c>
      <c r="AH153" s="206">
        <v>115678</v>
      </c>
      <c r="AI153" s="206">
        <v>112041</v>
      </c>
      <c r="AJ153" s="206">
        <v>108957</v>
      </c>
      <c r="AK153" s="206">
        <v>106355</v>
      </c>
      <c r="AL153" s="215">
        <v>103573</v>
      </c>
      <c r="AM153" s="215">
        <v>101219</v>
      </c>
      <c r="AN153" s="215">
        <v>98969</v>
      </c>
      <c r="AO153" s="215">
        <v>96818</v>
      </c>
      <c r="AP153" s="215">
        <v>94758</v>
      </c>
      <c r="AQ153" s="216">
        <v>93269</v>
      </c>
    </row>
    <row r="154" spans="11:43" ht="15.6" thickTop="1" thickBot="1" x14ac:dyDescent="0.35"/>
    <row r="155" spans="11:43" ht="15" thickTop="1" x14ac:dyDescent="0.3">
      <c r="K155" s="207" t="s">
        <v>318</v>
      </c>
      <c r="L155" s="205"/>
      <c r="M155" s="205"/>
      <c r="N155" s="205"/>
      <c r="O155" s="205"/>
      <c r="P155" s="205"/>
      <c r="Q155" s="205"/>
      <c r="R155" s="205"/>
      <c r="S155" s="205"/>
      <c r="T155" s="205"/>
      <c r="U155" s="205"/>
      <c r="V155" s="205"/>
      <c r="W155" s="205"/>
      <c r="X155" s="205"/>
      <c r="Y155" s="205"/>
      <c r="Z155" s="205"/>
      <c r="AA155" s="205"/>
      <c r="AB155" s="205"/>
      <c r="AC155" s="205"/>
      <c r="AD155" s="205"/>
      <c r="AE155" s="205"/>
      <c r="AF155" s="205"/>
      <c r="AG155" s="205"/>
      <c r="AH155" s="205"/>
      <c r="AI155" s="205"/>
      <c r="AJ155" s="205"/>
      <c r="AK155" s="205"/>
      <c r="AL155" s="205"/>
      <c r="AM155" s="205"/>
      <c r="AN155" s="205"/>
      <c r="AO155" s="205"/>
      <c r="AP155" s="205"/>
      <c r="AQ155" s="211"/>
    </row>
    <row r="156" spans="11:43" x14ac:dyDescent="0.3">
      <c r="K156" s="208" t="s">
        <v>333</v>
      </c>
      <c r="L156" s="204">
        <v>1.2</v>
      </c>
      <c r="M156" s="204">
        <v>1.4</v>
      </c>
      <c r="N156" s="204">
        <v>1.6</v>
      </c>
      <c r="O156" s="204">
        <v>1.8</v>
      </c>
      <c r="P156" s="204">
        <v>2</v>
      </c>
      <c r="Q156" s="204">
        <v>2.2000000000000002</v>
      </c>
      <c r="R156" s="204">
        <v>2.4000000000000004</v>
      </c>
      <c r="S156" s="204">
        <v>2.6</v>
      </c>
      <c r="T156" s="204">
        <v>2.8</v>
      </c>
      <c r="U156" s="204">
        <v>3</v>
      </c>
      <c r="V156" s="204">
        <v>3.2</v>
      </c>
      <c r="W156" s="204">
        <v>3.4000000000000004</v>
      </c>
      <c r="X156" s="204">
        <v>3.6000000000000005</v>
      </c>
      <c r="Y156" s="204">
        <v>3.8</v>
      </c>
      <c r="Z156" s="204">
        <v>4</v>
      </c>
      <c r="AA156" s="204">
        <v>4.2</v>
      </c>
      <c r="AB156" s="204">
        <v>4.4000000000000004</v>
      </c>
      <c r="AC156" s="204">
        <v>4.6000000000000005</v>
      </c>
      <c r="AD156" s="204">
        <v>4.8</v>
      </c>
      <c r="AE156" s="204">
        <v>5</v>
      </c>
      <c r="AF156" s="204">
        <v>5.2</v>
      </c>
      <c r="AG156" s="204">
        <v>5.4</v>
      </c>
      <c r="AH156" s="204">
        <v>5.6000000000000005</v>
      </c>
      <c r="AI156" s="204">
        <v>5.8000000000000007</v>
      </c>
      <c r="AJ156" s="204">
        <v>6.0000000000000009</v>
      </c>
      <c r="AK156" s="204">
        <v>6.2</v>
      </c>
      <c r="AL156" s="204">
        <v>6.4</v>
      </c>
      <c r="AM156" s="204">
        <v>6.6000000000000005</v>
      </c>
      <c r="AN156" s="204">
        <v>6.8000000000000007</v>
      </c>
      <c r="AO156" s="204">
        <v>7.0000000000000009</v>
      </c>
      <c r="AP156" s="204">
        <v>7.2</v>
      </c>
      <c r="AQ156" s="212">
        <v>7.4</v>
      </c>
    </row>
    <row r="157" spans="11:43" x14ac:dyDescent="0.3">
      <c r="K157" s="208" t="s">
        <v>81</v>
      </c>
      <c r="L157" s="217">
        <v>11632.91</v>
      </c>
      <c r="M157" s="217">
        <v>19605.79</v>
      </c>
      <c r="N157" s="217">
        <v>25606.7</v>
      </c>
      <c r="O157" s="217">
        <v>30700.34</v>
      </c>
      <c r="P157" s="217">
        <v>35304.1</v>
      </c>
      <c r="Q157" s="217">
        <v>39977.72</v>
      </c>
      <c r="R157" s="217">
        <v>43365.72</v>
      </c>
      <c r="S157" s="217">
        <v>46747.86</v>
      </c>
      <c r="T157" s="217">
        <v>50108.55</v>
      </c>
      <c r="U157" s="217">
        <v>53455.49</v>
      </c>
      <c r="V157" s="217">
        <v>56788.82</v>
      </c>
      <c r="W157" s="217">
        <v>60118.96</v>
      </c>
      <c r="X157" s="217">
        <v>63436.78</v>
      </c>
      <c r="Y157" s="217">
        <v>66742.39</v>
      </c>
      <c r="Z157" s="217">
        <v>70024.02</v>
      </c>
      <c r="AA157" s="217">
        <v>73317.37</v>
      </c>
      <c r="AB157" s="217">
        <v>76586.94</v>
      </c>
      <c r="AC157" s="217">
        <v>79858.09</v>
      </c>
      <c r="AD157" s="217">
        <v>83104.62</v>
      </c>
      <c r="AE157" s="217">
        <v>86353.9</v>
      </c>
      <c r="AF157" s="217">
        <v>89592.62</v>
      </c>
      <c r="AG157" s="217">
        <v>92820.86</v>
      </c>
      <c r="AH157" s="217">
        <v>96070.36</v>
      </c>
      <c r="AI157" s="217">
        <v>99278.82</v>
      </c>
      <c r="AJ157" s="217">
        <v>102493.81</v>
      </c>
      <c r="AK157" s="217">
        <v>105699.55</v>
      </c>
      <c r="AL157" s="204">
        <v>108896.1</v>
      </c>
      <c r="AM157" s="204">
        <v>112101.74</v>
      </c>
      <c r="AN157" s="204">
        <v>115299.24</v>
      </c>
      <c r="AO157" s="204">
        <v>118488.66</v>
      </c>
      <c r="AP157" s="204">
        <v>121670.03</v>
      </c>
      <c r="AQ157" s="212">
        <v>124883.59</v>
      </c>
    </row>
    <row r="158" spans="11:43" x14ac:dyDescent="0.3">
      <c r="K158" s="209"/>
      <c r="L158" s="189"/>
      <c r="M158" s="189"/>
      <c r="N158" s="189"/>
      <c r="O158" s="189"/>
      <c r="P158" s="189"/>
      <c r="Q158" s="189"/>
      <c r="R158" s="189"/>
      <c r="S158" s="189"/>
      <c r="T158" s="189"/>
      <c r="U158" s="189"/>
      <c r="V158" s="189"/>
      <c r="W158" s="189"/>
      <c r="X158" s="189"/>
      <c r="Y158" s="189"/>
      <c r="Z158" s="189"/>
      <c r="AA158" s="189"/>
      <c r="AB158" s="189"/>
      <c r="AC158" s="189"/>
      <c r="AD158" s="189"/>
      <c r="AE158" s="189"/>
      <c r="AF158" s="189"/>
      <c r="AG158" s="189"/>
      <c r="AH158" s="189"/>
      <c r="AI158" s="189"/>
      <c r="AJ158" s="189"/>
      <c r="AK158" s="189"/>
      <c r="AL158" s="189"/>
      <c r="AM158" s="189"/>
      <c r="AN158" s="189"/>
      <c r="AO158" s="189"/>
      <c r="AP158" s="189"/>
      <c r="AQ158" s="213"/>
    </row>
    <row r="159" spans="11:43" x14ac:dyDescent="0.3">
      <c r="K159" s="208" t="s">
        <v>325</v>
      </c>
      <c r="L159" s="189"/>
      <c r="M159" s="189"/>
      <c r="N159" s="189"/>
      <c r="O159" s="189"/>
      <c r="P159" s="189"/>
      <c r="Q159" s="189"/>
      <c r="R159" s="189"/>
      <c r="S159" s="189"/>
      <c r="T159" s="189"/>
      <c r="U159" s="189"/>
      <c r="V159" s="189"/>
      <c r="W159" s="189"/>
      <c r="X159" s="189"/>
      <c r="Y159" s="189"/>
      <c r="Z159" s="189"/>
      <c r="AA159" s="189"/>
      <c r="AB159" s="189"/>
      <c r="AC159" s="189"/>
      <c r="AD159" s="189"/>
      <c r="AE159" s="189"/>
      <c r="AF159" s="189"/>
      <c r="AG159" s="189"/>
      <c r="AH159" s="189"/>
      <c r="AI159" s="189"/>
      <c r="AJ159" s="189"/>
      <c r="AK159" s="189"/>
      <c r="AL159" s="189"/>
      <c r="AM159" s="189"/>
      <c r="AN159" s="189"/>
      <c r="AO159" s="189"/>
      <c r="AP159" s="189"/>
      <c r="AQ159" s="213"/>
    </row>
    <row r="160" spans="11:43" x14ac:dyDescent="0.3">
      <c r="K160" s="208" t="s">
        <v>335</v>
      </c>
      <c r="L160" s="204">
        <v>1.2</v>
      </c>
      <c r="M160" s="204">
        <v>1.4</v>
      </c>
      <c r="N160" s="204">
        <v>1.6</v>
      </c>
      <c r="O160" s="204">
        <v>1.8</v>
      </c>
      <c r="P160" s="204">
        <v>2</v>
      </c>
      <c r="Q160" s="204">
        <v>2.2000000000000002</v>
      </c>
      <c r="R160" s="204">
        <v>2.4000000000000004</v>
      </c>
      <c r="S160" s="204">
        <v>2.6</v>
      </c>
      <c r="T160" s="204">
        <v>2.8</v>
      </c>
      <c r="U160" s="204">
        <v>3</v>
      </c>
      <c r="V160" s="204">
        <v>3.2</v>
      </c>
      <c r="W160" s="204">
        <v>3.4000000000000004</v>
      </c>
      <c r="X160" s="204">
        <v>3.6000000000000005</v>
      </c>
      <c r="Y160" s="204">
        <v>3.8</v>
      </c>
      <c r="Z160" s="204">
        <v>4</v>
      </c>
      <c r="AA160" s="204">
        <v>4.2</v>
      </c>
      <c r="AB160" s="204">
        <v>4.4000000000000004</v>
      </c>
      <c r="AC160" s="204">
        <v>4.6000000000000005</v>
      </c>
      <c r="AD160" s="204">
        <v>4.8</v>
      </c>
      <c r="AE160" s="204">
        <v>5</v>
      </c>
      <c r="AF160" s="204">
        <v>5.2</v>
      </c>
      <c r="AG160" s="204">
        <v>5.4</v>
      </c>
      <c r="AH160" s="204">
        <v>5.6000000000000005</v>
      </c>
      <c r="AI160" s="204">
        <v>5.8000000000000007</v>
      </c>
      <c r="AJ160" s="204">
        <v>6.0000000000000009</v>
      </c>
      <c r="AK160" s="204">
        <v>6.2</v>
      </c>
      <c r="AL160" s="204">
        <v>6.4</v>
      </c>
      <c r="AM160" s="204">
        <v>6.6000000000000005</v>
      </c>
      <c r="AN160" s="204">
        <v>6.8000000000000007</v>
      </c>
      <c r="AO160" s="204">
        <v>7.0000000000000009</v>
      </c>
      <c r="AP160" s="204">
        <v>7.2</v>
      </c>
      <c r="AQ160" s="212">
        <v>7.4</v>
      </c>
    </row>
    <row r="161" spans="11:43" x14ac:dyDescent="0.3">
      <c r="K161" s="208" t="s">
        <v>81</v>
      </c>
      <c r="L161" s="204">
        <v>248229</v>
      </c>
      <c r="M161" s="204">
        <v>288796</v>
      </c>
      <c r="N161" s="204">
        <v>329004</v>
      </c>
      <c r="O161" s="204">
        <v>370034</v>
      </c>
      <c r="P161" s="204">
        <v>412036</v>
      </c>
      <c r="Q161" s="204">
        <v>454183</v>
      </c>
      <c r="R161" s="204">
        <v>496881</v>
      </c>
      <c r="S161" s="204">
        <v>540734</v>
      </c>
      <c r="T161" s="204">
        <v>583974</v>
      </c>
      <c r="U161" s="204">
        <v>627694</v>
      </c>
      <c r="V161" s="204">
        <v>673405</v>
      </c>
      <c r="W161" s="204">
        <v>718218</v>
      </c>
      <c r="X161" s="204">
        <v>763537</v>
      </c>
      <c r="Y161" s="204">
        <v>811219</v>
      </c>
      <c r="Z161" s="204">
        <v>857695</v>
      </c>
      <c r="AA161" s="204">
        <v>904708</v>
      </c>
      <c r="AB161" s="204">
        <v>953373</v>
      </c>
      <c r="AC161" s="204">
        <v>1000380</v>
      </c>
      <c r="AD161" s="204">
        <v>1049058</v>
      </c>
      <c r="AE161" s="204">
        <v>1099609</v>
      </c>
      <c r="AF161" s="204">
        <v>1148148</v>
      </c>
      <c r="AG161" s="204">
        <v>1198581</v>
      </c>
      <c r="AH161" s="204">
        <v>1249620</v>
      </c>
      <c r="AI161" s="204">
        <v>1299705</v>
      </c>
      <c r="AJ161" s="204">
        <v>1351916</v>
      </c>
      <c r="AK161" s="204">
        <v>1404766</v>
      </c>
      <c r="AL161" s="204">
        <v>1456475</v>
      </c>
      <c r="AM161" s="204">
        <v>1508694</v>
      </c>
      <c r="AN161" s="204">
        <v>1563371</v>
      </c>
      <c r="AO161" s="204">
        <v>1614695</v>
      </c>
      <c r="AP161" s="204">
        <v>1668493</v>
      </c>
      <c r="AQ161" s="212">
        <v>1725005</v>
      </c>
    </row>
    <row r="162" spans="11:43" x14ac:dyDescent="0.3">
      <c r="K162" s="209"/>
      <c r="L162" s="189"/>
      <c r="M162" s="189"/>
      <c r="N162" s="189"/>
      <c r="O162" s="189"/>
      <c r="P162" s="189"/>
      <c r="Q162" s="189"/>
      <c r="R162" s="189"/>
      <c r="S162" s="189"/>
      <c r="T162" s="189"/>
      <c r="U162" s="189"/>
      <c r="V162" s="189"/>
      <c r="W162" s="189"/>
      <c r="X162" s="189"/>
      <c r="Y162" s="189"/>
      <c r="Z162" s="189"/>
      <c r="AA162" s="189"/>
      <c r="AB162" s="189"/>
      <c r="AC162" s="189"/>
      <c r="AD162" s="189"/>
      <c r="AE162" s="189"/>
      <c r="AF162" s="189"/>
      <c r="AG162" s="189"/>
      <c r="AH162" s="189"/>
      <c r="AI162" s="189"/>
      <c r="AJ162" s="189"/>
      <c r="AK162" s="189"/>
      <c r="AL162" s="189"/>
      <c r="AM162" s="189"/>
      <c r="AN162" s="189"/>
      <c r="AO162" s="189"/>
      <c r="AP162" s="189"/>
      <c r="AQ162" s="213"/>
    </row>
    <row r="163" spans="11:43" x14ac:dyDescent="0.3">
      <c r="K163" s="208" t="s">
        <v>331</v>
      </c>
      <c r="L163" s="189"/>
      <c r="M163" s="189"/>
      <c r="N163" s="189"/>
      <c r="O163" s="189"/>
      <c r="P163" s="189"/>
      <c r="Q163" s="189"/>
      <c r="R163" s="189"/>
      <c r="S163" s="189"/>
      <c r="T163" s="189"/>
      <c r="U163" s="189"/>
      <c r="V163" s="189"/>
      <c r="W163" s="189"/>
      <c r="X163" s="189"/>
      <c r="Y163" s="189"/>
      <c r="Z163" s="189"/>
      <c r="AA163" s="189"/>
      <c r="AB163" s="189"/>
      <c r="AC163" s="189"/>
      <c r="AD163" s="189"/>
      <c r="AE163" s="189"/>
      <c r="AF163" s="189"/>
      <c r="AG163" s="189"/>
      <c r="AH163" s="189"/>
      <c r="AI163" s="189"/>
      <c r="AJ163" s="189"/>
      <c r="AK163" s="189"/>
      <c r="AL163" s="189"/>
      <c r="AM163" s="189"/>
      <c r="AN163" s="189"/>
      <c r="AO163" s="189"/>
      <c r="AP163" s="189"/>
      <c r="AQ163" s="213"/>
    </row>
    <row r="164" spans="11:43" x14ac:dyDescent="0.3">
      <c r="K164" s="208" t="s">
        <v>335</v>
      </c>
      <c r="L164" s="204">
        <v>1.1000000000000001</v>
      </c>
      <c r="M164" s="204">
        <v>1.1000000000000001</v>
      </c>
      <c r="N164" s="204">
        <v>1.1000000000000001</v>
      </c>
      <c r="O164" s="204">
        <v>1.1000000000000001</v>
      </c>
      <c r="P164" s="204">
        <v>1.1000000000000001</v>
      </c>
      <c r="Q164" s="204">
        <v>1.1000000000000001</v>
      </c>
      <c r="R164" s="204">
        <v>1.1000000000000001</v>
      </c>
      <c r="S164" s="204">
        <v>1.1000000000000001</v>
      </c>
      <c r="T164" s="204">
        <v>1.1000000000000001</v>
      </c>
      <c r="U164" s="204">
        <v>1.1000000000000001</v>
      </c>
      <c r="V164" s="204">
        <v>1.1000000000000001</v>
      </c>
      <c r="W164" s="204">
        <v>1.1000000000000001</v>
      </c>
      <c r="X164" s="204">
        <v>1.1000000000000001</v>
      </c>
      <c r="Y164" s="204">
        <v>1.1000000000000001</v>
      </c>
      <c r="Z164" s="204">
        <v>1.1000000000000001</v>
      </c>
      <c r="AA164" s="204">
        <v>1.1000000000000001</v>
      </c>
      <c r="AB164" s="204">
        <v>1.1000000000000001</v>
      </c>
      <c r="AC164" s="204">
        <v>1.1000000000000001</v>
      </c>
      <c r="AD164" s="204">
        <v>1.1000000000000001</v>
      </c>
      <c r="AE164" s="204">
        <v>1.1000000000000001</v>
      </c>
      <c r="AF164" s="204">
        <v>1.1000000000000001</v>
      </c>
      <c r="AG164" s="204">
        <v>1.1000000000000001</v>
      </c>
      <c r="AH164" s="204">
        <v>1.1000000000000001</v>
      </c>
      <c r="AI164" s="204">
        <v>1.1000000000000001</v>
      </c>
      <c r="AJ164" s="204">
        <v>1.1000000000000001</v>
      </c>
      <c r="AK164" s="204">
        <v>1.1000000000000001</v>
      </c>
      <c r="AL164" s="204">
        <v>1.1000000000000001</v>
      </c>
      <c r="AM164" s="204">
        <v>1.1000000000000001</v>
      </c>
      <c r="AN164" s="204">
        <v>1.1000000000000001</v>
      </c>
      <c r="AO164" s="204">
        <v>1.1000000000000001</v>
      </c>
      <c r="AP164" s="204">
        <v>1.1000000000000001</v>
      </c>
      <c r="AQ164" s="212">
        <v>1.1000000000000001</v>
      </c>
    </row>
    <row r="165" spans="11:43" x14ac:dyDescent="0.3">
      <c r="K165" s="208" t="s">
        <v>81</v>
      </c>
      <c r="L165" s="189">
        <v>133216</v>
      </c>
      <c r="M165" s="189">
        <v>133216</v>
      </c>
      <c r="N165" s="189">
        <v>133216</v>
      </c>
      <c r="O165" s="189">
        <v>133216</v>
      </c>
      <c r="P165" s="189">
        <v>133216</v>
      </c>
      <c r="Q165" s="189">
        <v>133216</v>
      </c>
      <c r="R165" s="189">
        <v>133216</v>
      </c>
      <c r="S165" s="189">
        <v>133216</v>
      </c>
      <c r="T165" s="189">
        <v>133216</v>
      </c>
      <c r="U165" s="189">
        <v>133216</v>
      </c>
      <c r="V165" s="189">
        <v>133216</v>
      </c>
      <c r="W165" s="189">
        <v>133216</v>
      </c>
      <c r="X165" s="189">
        <v>133216</v>
      </c>
      <c r="Y165" s="189">
        <v>133216</v>
      </c>
      <c r="Z165" s="189">
        <v>133216</v>
      </c>
      <c r="AA165" s="189">
        <v>133216</v>
      </c>
      <c r="AB165" s="189">
        <v>133216</v>
      </c>
      <c r="AC165" s="189">
        <v>133216</v>
      </c>
      <c r="AD165" s="189">
        <v>133216</v>
      </c>
      <c r="AE165" s="189">
        <v>133216</v>
      </c>
      <c r="AF165" s="189">
        <v>133216</v>
      </c>
      <c r="AG165" s="189">
        <v>133216</v>
      </c>
      <c r="AH165" s="189">
        <v>133216</v>
      </c>
      <c r="AI165" s="189">
        <v>133216</v>
      </c>
      <c r="AJ165" s="189">
        <v>133216</v>
      </c>
      <c r="AK165" s="189">
        <v>133216</v>
      </c>
      <c r="AL165" s="189">
        <v>133216</v>
      </c>
      <c r="AM165" s="189">
        <v>133216</v>
      </c>
      <c r="AN165" s="189">
        <v>133216</v>
      </c>
      <c r="AO165" s="189">
        <v>133216</v>
      </c>
      <c r="AP165" s="189">
        <v>133216</v>
      </c>
      <c r="AQ165" s="213">
        <v>133216</v>
      </c>
    </row>
    <row r="166" spans="11:43" x14ac:dyDescent="0.3">
      <c r="K166" s="209"/>
      <c r="L166" s="189"/>
      <c r="M166" s="189"/>
      <c r="N166" s="189"/>
      <c r="O166" s="189"/>
      <c r="P166" s="189"/>
      <c r="Q166" s="189"/>
      <c r="R166" s="189"/>
      <c r="S166" s="189"/>
      <c r="T166" s="189"/>
      <c r="U166" s="189"/>
      <c r="V166" s="189"/>
      <c r="W166" s="189"/>
      <c r="X166" s="189"/>
      <c r="Y166" s="189"/>
      <c r="Z166" s="189"/>
      <c r="AA166" s="189"/>
      <c r="AB166" s="189"/>
      <c r="AC166" s="189"/>
      <c r="AD166" s="189"/>
      <c r="AE166" s="189"/>
      <c r="AF166" s="189"/>
      <c r="AG166" s="189"/>
      <c r="AH166" s="189"/>
      <c r="AI166" s="189"/>
      <c r="AJ166" s="189"/>
      <c r="AK166" s="189"/>
      <c r="AL166" s="189"/>
      <c r="AM166" s="189"/>
      <c r="AN166" s="189"/>
      <c r="AO166" s="189"/>
      <c r="AP166" s="189"/>
      <c r="AQ166" s="213"/>
    </row>
    <row r="167" spans="11:43" x14ac:dyDescent="0.3">
      <c r="K167" s="208" t="s">
        <v>320</v>
      </c>
      <c r="L167" s="189"/>
      <c r="M167" s="189"/>
      <c r="N167" s="189"/>
      <c r="O167" s="189"/>
      <c r="P167" s="189"/>
      <c r="Q167" s="189"/>
      <c r="R167" s="189"/>
      <c r="S167" s="189"/>
      <c r="T167" s="189"/>
      <c r="U167" s="189"/>
      <c r="V167" s="189"/>
      <c r="W167" s="189"/>
      <c r="X167" s="189"/>
      <c r="Y167" s="189"/>
      <c r="Z167" s="189"/>
      <c r="AA167" s="189"/>
      <c r="AB167" s="189"/>
      <c r="AC167" s="189"/>
      <c r="AD167" s="189"/>
      <c r="AE167" s="189"/>
      <c r="AF167" s="189"/>
      <c r="AG167" s="189"/>
      <c r="AH167" s="189"/>
      <c r="AI167" s="189"/>
      <c r="AJ167" s="189"/>
      <c r="AK167" s="189"/>
      <c r="AL167" s="189"/>
      <c r="AM167" s="189"/>
      <c r="AN167" s="189"/>
      <c r="AO167" s="189"/>
      <c r="AP167" s="189"/>
      <c r="AQ167" s="213"/>
    </row>
    <row r="168" spans="11:43" x14ac:dyDescent="0.3">
      <c r="K168" s="208" t="s">
        <v>333</v>
      </c>
      <c r="L168" s="204">
        <v>1.2</v>
      </c>
      <c r="M168" s="204">
        <v>1.4</v>
      </c>
      <c r="N168" s="204">
        <v>1.6</v>
      </c>
      <c r="O168" s="204">
        <v>1.8</v>
      </c>
      <c r="P168" s="204">
        <v>2</v>
      </c>
      <c r="Q168" s="204">
        <v>2.2000000000000002</v>
      </c>
      <c r="R168" s="204">
        <v>2.4000000000000004</v>
      </c>
      <c r="S168" s="204">
        <v>2.6</v>
      </c>
      <c r="T168" s="204">
        <v>2.8</v>
      </c>
      <c r="U168" s="204">
        <v>3</v>
      </c>
      <c r="V168" s="204">
        <v>3.2</v>
      </c>
      <c r="W168" s="204">
        <v>3.4000000000000004</v>
      </c>
      <c r="X168" s="204">
        <v>3.6000000000000005</v>
      </c>
      <c r="Y168" s="204">
        <v>3.8</v>
      </c>
      <c r="Z168" s="204">
        <v>4</v>
      </c>
      <c r="AA168" s="204">
        <v>4.2</v>
      </c>
      <c r="AB168" s="204">
        <v>4.4000000000000004</v>
      </c>
      <c r="AC168" s="204">
        <v>4.6000000000000005</v>
      </c>
      <c r="AD168" s="204">
        <v>4.8</v>
      </c>
      <c r="AE168" s="204">
        <v>5</v>
      </c>
      <c r="AF168" s="204">
        <v>5.2</v>
      </c>
      <c r="AG168" s="204">
        <v>5.4</v>
      </c>
      <c r="AH168" s="204">
        <v>5.6000000000000005</v>
      </c>
      <c r="AI168" s="204">
        <v>5.8000000000000007</v>
      </c>
      <c r="AJ168" s="204">
        <v>6.0000000000000009</v>
      </c>
      <c r="AK168" s="204">
        <v>6.2</v>
      </c>
      <c r="AL168" s="204">
        <v>6.4</v>
      </c>
      <c r="AM168" s="204">
        <v>6.6000000000000005</v>
      </c>
      <c r="AN168" s="204">
        <v>6.8000000000000007</v>
      </c>
      <c r="AO168" s="204">
        <v>7.0000000000000009</v>
      </c>
      <c r="AP168" s="204">
        <v>7.2</v>
      </c>
      <c r="AQ168" s="212">
        <v>7.4</v>
      </c>
    </row>
    <row r="169" spans="11:43" ht="15" thickBot="1" x14ac:dyDescent="0.35">
      <c r="K169" s="210" t="s">
        <v>81</v>
      </c>
      <c r="L169" s="206">
        <v>634478</v>
      </c>
      <c r="M169" s="206">
        <v>514939</v>
      </c>
      <c r="N169" s="206">
        <v>438652</v>
      </c>
      <c r="O169" s="206">
        <v>382052</v>
      </c>
      <c r="P169" s="206">
        <v>338389</v>
      </c>
      <c r="Q169" s="206">
        <v>301108</v>
      </c>
      <c r="R169" s="206">
        <v>273314</v>
      </c>
      <c r="S169" s="206">
        <v>251991</v>
      </c>
      <c r="T169" s="206">
        <v>232227</v>
      </c>
      <c r="U169" s="206">
        <v>215338</v>
      </c>
      <c r="V169" s="206">
        <v>200739</v>
      </c>
      <c r="W169" s="206">
        <v>188994</v>
      </c>
      <c r="X169" s="206">
        <v>178547</v>
      </c>
      <c r="Y169" s="206">
        <v>169194</v>
      </c>
      <c r="Z169" s="206">
        <v>160049</v>
      </c>
      <c r="AA169" s="206">
        <v>153150</v>
      </c>
      <c r="AB169" s="206">
        <v>146217</v>
      </c>
      <c r="AC169" s="206">
        <v>140438</v>
      </c>
      <c r="AD169" s="206">
        <v>134586</v>
      </c>
      <c r="AE169" s="206">
        <v>129674</v>
      </c>
      <c r="AF169" s="206">
        <v>125108</v>
      </c>
      <c r="AG169" s="206">
        <v>120853</v>
      </c>
      <c r="AH169" s="206">
        <v>117652</v>
      </c>
      <c r="AI169" s="206">
        <v>113881</v>
      </c>
      <c r="AJ169" s="206">
        <v>110688</v>
      </c>
      <c r="AK169" s="206">
        <v>107669</v>
      </c>
      <c r="AL169" s="215">
        <v>104811</v>
      </c>
      <c r="AM169" s="215">
        <v>102394</v>
      </c>
      <c r="AN169" s="215">
        <v>100087</v>
      </c>
      <c r="AO169" s="215">
        <v>97881</v>
      </c>
      <c r="AP169" s="215">
        <v>95770</v>
      </c>
      <c r="AQ169" s="216">
        <v>94246</v>
      </c>
    </row>
    <row r="170" spans="11:43" ht="15.6" thickTop="1" thickBot="1" x14ac:dyDescent="0.35"/>
    <row r="171" spans="11:43" ht="15" thickTop="1" x14ac:dyDescent="0.3">
      <c r="K171" s="207" t="s">
        <v>318</v>
      </c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  <c r="AB171" s="205"/>
      <c r="AC171" s="205"/>
      <c r="AD171" s="205"/>
      <c r="AE171" s="205"/>
      <c r="AF171" s="205"/>
      <c r="AG171" s="205"/>
      <c r="AH171" s="205"/>
      <c r="AI171" s="205"/>
      <c r="AJ171" s="205"/>
      <c r="AK171" s="205"/>
      <c r="AL171" s="205"/>
      <c r="AM171" s="205"/>
      <c r="AN171" s="205"/>
      <c r="AO171" s="205"/>
      <c r="AP171" s="205"/>
      <c r="AQ171" s="211"/>
    </row>
    <row r="172" spans="11:43" x14ac:dyDescent="0.3">
      <c r="K172" s="208" t="s">
        <v>333</v>
      </c>
      <c r="L172" s="204">
        <v>1.2</v>
      </c>
      <c r="M172" s="204">
        <v>1.4</v>
      </c>
      <c r="N172" s="204">
        <v>1.6</v>
      </c>
      <c r="O172" s="204">
        <v>1.8</v>
      </c>
      <c r="P172" s="204">
        <v>2</v>
      </c>
      <c r="Q172" s="204">
        <v>2.2000000000000002</v>
      </c>
      <c r="R172" s="204">
        <v>2.4000000000000004</v>
      </c>
      <c r="S172" s="204">
        <v>2.6</v>
      </c>
      <c r="T172" s="204">
        <v>2.8</v>
      </c>
      <c r="U172" s="204">
        <v>3</v>
      </c>
      <c r="V172" s="204">
        <v>3.2</v>
      </c>
      <c r="W172" s="204">
        <v>3.4000000000000004</v>
      </c>
      <c r="X172" s="204">
        <v>3.6000000000000005</v>
      </c>
      <c r="Y172" s="204">
        <v>3.8</v>
      </c>
      <c r="Z172" s="204">
        <v>4</v>
      </c>
      <c r="AA172" s="204">
        <v>4.2</v>
      </c>
      <c r="AB172" s="204">
        <v>4.4000000000000004</v>
      </c>
      <c r="AC172" s="204">
        <v>4.6000000000000005</v>
      </c>
      <c r="AD172" s="204">
        <v>4.8</v>
      </c>
      <c r="AE172" s="204">
        <v>5</v>
      </c>
      <c r="AF172" s="204">
        <v>5.2</v>
      </c>
      <c r="AG172" s="204">
        <v>5.4</v>
      </c>
      <c r="AH172" s="204">
        <v>5.6000000000000005</v>
      </c>
      <c r="AI172" s="204">
        <v>5.8000000000000007</v>
      </c>
      <c r="AJ172" s="204">
        <v>6.0000000000000009</v>
      </c>
      <c r="AK172" s="204">
        <v>6.2</v>
      </c>
      <c r="AL172" s="204">
        <v>6.4</v>
      </c>
      <c r="AM172" s="204">
        <v>6.6000000000000005</v>
      </c>
      <c r="AN172" s="204">
        <v>6.8000000000000007</v>
      </c>
      <c r="AO172" s="204">
        <v>7.0000000000000009</v>
      </c>
      <c r="AP172" s="204">
        <v>7.2</v>
      </c>
      <c r="AQ172" s="212">
        <v>7.4</v>
      </c>
    </row>
    <row r="173" spans="11:43" x14ac:dyDescent="0.3">
      <c r="K173" s="208" t="s">
        <v>81</v>
      </c>
      <c r="L173" s="217">
        <v>0</v>
      </c>
      <c r="M173" s="217">
        <v>16570.22</v>
      </c>
      <c r="N173" s="217">
        <v>23646.23</v>
      </c>
      <c r="O173" s="217">
        <v>29283.7</v>
      </c>
      <c r="P173" s="217">
        <v>34230.449999999997</v>
      </c>
      <c r="Q173" s="217">
        <v>38768.17</v>
      </c>
      <c r="R173" s="217">
        <v>43418.89</v>
      </c>
      <c r="S173" s="217">
        <v>46796.79</v>
      </c>
      <c r="T173" s="217">
        <v>50160.77</v>
      </c>
      <c r="U173" s="217">
        <v>53510.97</v>
      </c>
      <c r="V173" s="217">
        <v>56847.519999999997</v>
      </c>
      <c r="W173" s="217">
        <v>60180.87</v>
      </c>
      <c r="X173" s="217">
        <v>63501.86</v>
      </c>
      <c r="Y173" s="217">
        <v>66810.600000000006</v>
      </c>
      <c r="Z173" s="217">
        <v>70095.289999999994</v>
      </c>
      <c r="AA173" s="217">
        <v>73379.33</v>
      </c>
      <c r="AB173" s="217">
        <v>76664.34</v>
      </c>
      <c r="AC173" s="217">
        <v>79938.52</v>
      </c>
      <c r="AD173" s="217">
        <v>83188.02</v>
      </c>
      <c r="AE173" s="217">
        <v>86440.27</v>
      </c>
      <c r="AF173" s="217">
        <v>89681.93</v>
      </c>
      <c r="AG173" s="217">
        <v>92913.08</v>
      </c>
      <c r="AH173" s="217">
        <v>96149.68</v>
      </c>
      <c r="AI173" s="217">
        <v>99360.51</v>
      </c>
      <c r="AJ173" s="217">
        <v>102577.89</v>
      </c>
      <c r="AK173" s="217">
        <v>105803.32</v>
      </c>
      <c r="AL173" s="204">
        <v>109002.7</v>
      </c>
      <c r="AM173" s="204">
        <v>112192.93</v>
      </c>
      <c r="AN173" s="204">
        <v>115411.53</v>
      </c>
      <c r="AO173" s="204">
        <v>118584.54</v>
      </c>
      <c r="AP173" s="204">
        <v>121787.91</v>
      </c>
      <c r="AQ173" s="212">
        <v>124984.19</v>
      </c>
    </row>
    <row r="174" spans="11:43" x14ac:dyDescent="0.3">
      <c r="K174" s="209"/>
      <c r="L174" s="189"/>
      <c r="M174" s="189"/>
      <c r="N174" s="189"/>
      <c r="O174" s="189"/>
      <c r="P174" s="189"/>
      <c r="Q174" s="189"/>
      <c r="R174" s="189"/>
      <c r="S174" s="189"/>
      <c r="T174" s="189"/>
      <c r="U174" s="189"/>
      <c r="V174" s="189"/>
      <c r="W174" s="189"/>
      <c r="X174" s="189"/>
      <c r="Y174" s="189"/>
      <c r="Z174" s="189"/>
      <c r="AA174" s="189"/>
      <c r="AB174" s="189"/>
      <c r="AC174" s="189"/>
      <c r="AD174" s="189"/>
      <c r="AE174" s="189"/>
      <c r="AF174" s="189"/>
      <c r="AG174" s="189"/>
      <c r="AH174" s="189"/>
      <c r="AI174" s="189"/>
      <c r="AJ174" s="189"/>
      <c r="AK174" s="189"/>
      <c r="AL174" s="189"/>
      <c r="AM174" s="189"/>
      <c r="AN174" s="189"/>
      <c r="AO174" s="189"/>
      <c r="AP174" s="189"/>
      <c r="AQ174" s="213"/>
    </row>
    <row r="175" spans="11:43" x14ac:dyDescent="0.3">
      <c r="K175" s="208" t="s">
        <v>325</v>
      </c>
      <c r="L175" s="189"/>
      <c r="M175" s="189"/>
      <c r="N175" s="189"/>
      <c r="O175" s="189"/>
      <c r="P175" s="189"/>
      <c r="Q175" s="189"/>
      <c r="R175" s="189"/>
      <c r="S175" s="189"/>
      <c r="T175" s="189"/>
      <c r="U175" s="189"/>
      <c r="V175" s="189"/>
      <c r="W175" s="189"/>
      <c r="X175" s="189"/>
      <c r="Y175" s="189"/>
      <c r="Z175" s="189"/>
      <c r="AA175" s="189"/>
      <c r="AB175" s="189"/>
      <c r="AC175" s="189"/>
      <c r="AD175" s="189"/>
      <c r="AE175" s="189"/>
      <c r="AF175" s="189"/>
      <c r="AG175" s="189"/>
      <c r="AH175" s="189"/>
      <c r="AI175" s="189"/>
      <c r="AJ175" s="189"/>
      <c r="AK175" s="189"/>
      <c r="AL175" s="189"/>
      <c r="AM175" s="189"/>
      <c r="AN175" s="189"/>
      <c r="AO175" s="189"/>
      <c r="AP175" s="189"/>
      <c r="AQ175" s="213"/>
    </row>
    <row r="176" spans="11:43" x14ac:dyDescent="0.3">
      <c r="K176" s="208" t="s">
        <v>335</v>
      </c>
      <c r="L176" s="204">
        <v>1.2</v>
      </c>
      <c r="M176" s="204">
        <v>1.4</v>
      </c>
      <c r="N176" s="204">
        <v>1.6</v>
      </c>
      <c r="O176" s="204">
        <v>1.8</v>
      </c>
      <c r="P176" s="204">
        <v>2</v>
      </c>
      <c r="Q176" s="204">
        <v>2.2000000000000002</v>
      </c>
      <c r="R176" s="204">
        <v>2.4000000000000004</v>
      </c>
      <c r="S176" s="204">
        <v>2.6</v>
      </c>
      <c r="T176" s="204">
        <v>2.8</v>
      </c>
      <c r="U176" s="204">
        <v>3</v>
      </c>
      <c r="V176" s="204">
        <v>3.2</v>
      </c>
      <c r="W176" s="204">
        <v>3.4000000000000004</v>
      </c>
      <c r="X176" s="204">
        <v>3.6000000000000005</v>
      </c>
      <c r="Y176" s="204">
        <v>3.8</v>
      </c>
      <c r="Z176" s="204">
        <v>4</v>
      </c>
      <c r="AA176" s="204">
        <v>4.2</v>
      </c>
      <c r="AB176" s="204">
        <v>4.4000000000000004</v>
      </c>
      <c r="AC176" s="204">
        <v>4.6000000000000005</v>
      </c>
      <c r="AD176" s="204">
        <v>4.8</v>
      </c>
      <c r="AE176" s="204">
        <v>5</v>
      </c>
      <c r="AF176" s="204">
        <v>5.2</v>
      </c>
      <c r="AG176" s="204">
        <v>5.4</v>
      </c>
      <c r="AH176" s="204">
        <v>5.6000000000000005</v>
      </c>
      <c r="AI176" s="204">
        <v>5.8000000000000007</v>
      </c>
      <c r="AJ176" s="204">
        <v>6.0000000000000009</v>
      </c>
      <c r="AK176" s="204">
        <v>6.2</v>
      </c>
      <c r="AL176" s="204">
        <v>6.4</v>
      </c>
      <c r="AM176" s="204">
        <v>6.6000000000000005</v>
      </c>
      <c r="AN176" s="204">
        <v>6.8000000000000007</v>
      </c>
      <c r="AO176" s="204">
        <v>7.0000000000000009</v>
      </c>
      <c r="AP176" s="204">
        <v>7.2</v>
      </c>
      <c r="AQ176" s="212">
        <v>7.4</v>
      </c>
    </row>
    <row r="177" spans="11:43" x14ac:dyDescent="0.3">
      <c r="K177" s="208" t="s">
        <v>81</v>
      </c>
      <c r="L177" s="204">
        <v>248229</v>
      </c>
      <c r="M177" s="204">
        <v>288796</v>
      </c>
      <c r="N177" s="204">
        <v>329004</v>
      </c>
      <c r="O177" s="204">
        <v>370034</v>
      </c>
      <c r="P177" s="204">
        <v>412036</v>
      </c>
      <c r="Q177" s="204">
        <v>454183</v>
      </c>
      <c r="R177" s="204">
        <v>496881</v>
      </c>
      <c r="S177" s="204">
        <v>540734</v>
      </c>
      <c r="T177" s="204">
        <v>583974</v>
      </c>
      <c r="U177" s="204">
        <v>627694</v>
      </c>
      <c r="V177" s="204">
        <v>673405</v>
      </c>
      <c r="W177" s="204">
        <v>718218</v>
      </c>
      <c r="X177" s="204">
        <v>763537</v>
      </c>
      <c r="Y177" s="204">
        <v>811219</v>
      </c>
      <c r="Z177" s="204">
        <v>857695</v>
      </c>
      <c r="AA177" s="204">
        <v>904708</v>
      </c>
      <c r="AB177" s="204">
        <v>953373</v>
      </c>
      <c r="AC177" s="204">
        <v>1000380</v>
      </c>
      <c r="AD177" s="204">
        <v>1049058</v>
      </c>
      <c r="AE177" s="204">
        <v>1099609</v>
      </c>
      <c r="AF177" s="204">
        <v>1148148</v>
      </c>
      <c r="AG177" s="204">
        <v>1198581</v>
      </c>
      <c r="AH177" s="204">
        <v>1249620</v>
      </c>
      <c r="AI177" s="204">
        <v>1299705</v>
      </c>
      <c r="AJ177" s="204">
        <v>1351916</v>
      </c>
      <c r="AK177" s="204">
        <v>1404766</v>
      </c>
      <c r="AL177" s="204">
        <v>1456475</v>
      </c>
      <c r="AM177" s="204">
        <v>1508694</v>
      </c>
      <c r="AN177" s="204">
        <v>1563371</v>
      </c>
      <c r="AO177" s="204">
        <v>1614695</v>
      </c>
      <c r="AP177" s="204">
        <v>1668493</v>
      </c>
      <c r="AQ177" s="212">
        <v>1725005</v>
      </c>
    </row>
    <row r="178" spans="11:43" x14ac:dyDescent="0.3">
      <c r="K178" s="209"/>
      <c r="L178" s="189"/>
      <c r="M178" s="189"/>
      <c r="N178" s="189"/>
      <c r="O178" s="189"/>
      <c r="P178" s="189"/>
      <c r="Q178" s="189"/>
      <c r="R178" s="189"/>
      <c r="S178" s="189"/>
      <c r="T178" s="189"/>
      <c r="U178" s="189"/>
      <c r="V178" s="189"/>
      <c r="W178" s="189"/>
      <c r="X178" s="189"/>
      <c r="Y178" s="189"/>
      <c r="Z178" s="189"/>
      <c r="AA178" s="189"/>
      <c r="AB178" s="189"/>
      <c r="AC178" s="189"/>
      <c r="AD178" s="189"/>
      <c r="AE178" s="189"/>
      <c r="AF178" s="189"/>
      <c r="AG178" s="189"/>
      <c r="AH178" s="189"/>
      <c r="AI178" s="189"/>
      <c r="AJ178" s="189"/>
      <c r="AK178" s="189"/>
      <c r="AL178" s="189"/>
      <c r="AM178" s="189"/>
      <c r="AN178" s="189"/>
      <c r="AO178" s="189"/>
      <c r="AP178" s="189"/>
      <c r="AQ178" s="213"/>
    </row>
    <row r="179" spans="11:43" x14ac:dyDescent="0.3">
      <c r="K179" s="208" t="s">
        <v>331</v>
      </c>
      <c r="L179" s="189"/>
      <c r="M179" s="189"/>
      <c r="N179" s="189"/>
      <c r="O179" s="189"/>
      <c r="P179" s="189"/>
      <c r="Q179" s="189"/>
      <c r="R179" s="189"/>
      <c r="S179" s="189"/>
      <c r="T179" s="189"/>
      <c r="U179" s="189"/>
      <c r="V179" s="189"/>
      <c r="W179" s="189"/>
      <c r="X179" s="189"/>
      <c r="Y179" s="189"/>
      <c r="Z179" s="189"/>
      <c r="AA179" s="189"/>
      <c r="AB179" s="189"/>
      <c r="AC179" s="189"/>
      <c r="AD179" s="189"/>
      <c r="AE179" s="189"/>
      <c r="AF179" s="189"/>
      <c r="AG179" s="189"/>
      <c r="AH179" s="189"/>
      <c r="AI179" s="189"/>
      <c r="AJ179" s="189"/>
      <c r="AK179" s="189"/>
      <c r="AL179" s="189"/>
      <c r="AM179" s="189"/>
      <c r="AN179" s="189"/>
      <c r="AO179" s="189"/>
      <c r="AP179" s="189"/>
      <c r="AQ179" s="213"/>
    </row>
    <row r="180" spans="11:43" x14ac:dyDescent="0.3">
      <c r="K180" s="208" t="s">
        <v>335</v>
      </c>
      <c r="L180" s="204">
        <v>1.2</v>
      </c>
      <c r="M180" s="204">
        <v>1.2</v>
      </c>
      <c r="N180" s="204">
        <v>1.2</v>
      </c>
      <c r="O180" s="204">
        <v>1.2</v>
      </c>
      <c r="P180" s="204">
        <v>1.2</v>
      </c>
      <c r="Q180" s="204">
        <v>1.2</v>
      </c>
      <c r="R180" s="204">
        <v>1.2</v>
      </c>
      <c r="S180" s="204">
        <v>1.2</v>
      </c>
      <c r="T180" s="204">
        <v>1.2</v>
      </c>
      <c r="U180" s="204">
        <v>1.2</v>
      </c>
      <c r="V180" s="204">
        <v>1.2</v>
      </c>
      <c r="W180" s="204">
        <v>1.2</v>
      </c>
      <c r="X180" s="204">
        <v>1.2</v>
      </c>
      <c r="Y180" s="204">
        <v>1.2</v>
      </c>
      <c r="Z180" s="204">
        <v>1.2</v>
      </c>
      <c r="AA180" s="204">
        <v>1.2</v>
      </c>
      <c r="AB180" s="204">
        <v>1.2</v>
      </c>
      <c r="AC180" s="204">
        <v>1.2</v>
      </c>
      <c r="AD180" s="204">
        <v>1.2</v>
      </c>
      <c r="AE180" s="204">
        <v>1.2</v>
      </c>
      <c r="AF180" s="204">
        <v>1.2</v>
      </c>
      <c r="AG180" s="204">
        <v>1.2</v>
      </c>
      <c r="AH180" s="204">
        <v>1.2</v>
      </c>
      <c r="AI180" s="204">
        <v>1.2</v>
      </c>
      <c r="AJ180" s="204">
        <v>1.2</v>
      </c>
      <c r="AK180" s="204">
        <v>1.2</v>
      </c>
      <c r="AL180" s="204">
        <v>1.2</v>
      </c>
      <c r="AM180" s="204">
        <v>1.2</v>
      </c>
      <c r="AN180" s="204">
        <v>1.2</v>
      </c>
      <c r="AO180" s="204">
        <v>1.2</v>
      </c>
      <c r="AP180" s="204">
        <v>1.2</v>
      </c>
      <c r="AQ180" s="212">
        <v>1.2</v>
      </c>
    </row>
    <row r="181" spans="11:43" x14ac:dyDescent="0.3">
      <c r="K181" s="208" t="s">
        <v>81</v>
      </c>
      <c r="L181" s="189">
        <v>144758</v>
      </c>
      <c r="M181" s="189">
        <v>144758</v>
      </c>
      <c r="N181" s="189">
        <v>144758</v>
      </c>
      <c r="O181" s="189">
        <v>144758</v>
      </c>
      <c r="P181" s="189">
        <v>144758</v>
      </c>
      <c r="Q181" s="189">
        <v>144758</v>
      </c>
      <c r="R181" s="189">
        <v>144758</v>
      </c>
      <c r="S181" s="189">
        <v>144758</v>
      </c>
      <c r="T181" s="189">
        <v>144758</v>
      </c>
      <c r="U181" s="189">
        <v>144758</v>
      </c>
      <c r="V181" s="189">
        <v>144758</v>
      </c>
      <c r="W181" s="189">
        <v>144758</v>
      </c>
      <c r="X181" s="189">
        <v>144758</v>
      </c>
      <c r="Y181" s="189">
        <v>144758</v>
      </c>
      <c r="Z181" s="189">
        <v>144758</v>
      </c>
      <c r="AA181" s="189">
        <v>144758</v>
      </c>
      <c r="AB181" s="189">
        <v>144758</v>
      </c>
      <c r="AC181" s="189">
        <v>144758</v>
      </c>
      <c r="AD181" s="189">
        <v>144758</v>
      </c>
      <c r="AE181" s="189">
        <v>144758</v>
      </c>
      <c r="AF181" s="189">
        <v>144758</v>
      </c>
      <c r="AG181" s="189">
        <v>144758</v>
      </c>
      <c r="AH181" s="189">
        <v>144758</v>
      </c>
      <c r="AI181" s="189">
        <v>144758</v>
      </c>
      <c r="AJ181" s="189">
        <v>144758</v>
      </c>
      <c r="AK181" s="189">
        <v>144758</v>
      </c>
      <c r="AL181" s="189">
        <v>144758</v>
      </c>
      <c r="AM181" s="189">
        <v>144758</v>
      </c>
      <c r="AN181" s="189">
        <v>144758</v>
      </c>
      <c r="AO181" s="189">
        <v>144758</v>
      </c>
      <c r="AP181" s="189">
        <v>144758</v>
      </c>
      <c r="AQ181" s="213">
        <v>144758</v>
      </c>
    </row>
    <row r="182" spans="11:43" x14ac:dyDescent="0.3">
      <c r="K182" s="209"/>
      <c r="L182" s="189"/>
      <c r="M182" s="189"/>
      <c r="N182" s="189"/>
      <c r="O182" s="189"/>
      <c r="P182" s="189"/>
      <c r="Q182" s="189"/>
      <c r="R182" s="189"/>
      <c r="S182" s="189"/>
      <c r="T182" s="189"/>
      <c r="U182" s="189"/>
      <c r="V182" s="189"/>
      <c r="W182" s="189"/>
      <c r="X182" s="189"/>
      <c r="Y182" s="189"/>
      <c r="Z182" s="189"/>
      <c r="AA182" s="189"/>
      <c r="AB182" s="189"/>
      <c r="AC182" s="189"/>
      <c r="AD182" s="189"/>
      <c r="AE182" s="189"/>
      <c r="AF182" s="189"/>
      <c r="AG182" s="189"/>
      <c r="AH182" s="189"/>
      <c r="AI182" s="189"/>
      <c r="AJ182" s="189"/>
      <c r="AK182" s="189"/>
      <c r="AL182" s="189"/>
      <c r="AM182" s="189"/>
      <c r="AN182" s="189"/>
      <c r="AO182" s="189"/>
      <c r="AP182" s="189"/>
      <c r="AQ182" s="213"/>
    </row>
    <row r="183" spans="11:43" x14ac:dyDescent="0.3">
      <c r="K183" s="208" t="s">
        <v>320</v>
      </c>
      <c r="L183" s="189"/>
      <c r="M183" s="189"/>
      <c r="N183" s="189"/>
      <c r="O183" s="189"/>
      <c r="P183" s="189"/>
      <c r="Q183" s="189"/>
      <c r="R183" s="189"/>
      <c r="S183" s="189"/>
      <c r="T183" s="189"/>
      <c r="U183" s="189"/>
      <c r="V183" s="189"/>
      <c r="W183" s="189"/>
      <c r="X183" s="189"/>
      <c r="Y183" s="189"/>
      <c r="Z183" s="189"/>
      <c r="AA183" s="189"/>
      <c r="AB183" s="189"/>
      <c r="AC183" s="189"/>
      <c r="AD183" s="189"/>
      <c r="AE183" s="189"/>
      <c r="AF183" s="189"/>
      <c r="AG183" s="189"/>
      <c r="AH183" s="189"/>
      <c r="AI183" s="189"/>
      <c r="AJ183" s="189"/>
      <c r="AK183" s="189"/>
      <c r="AL183" s="189"/>
      <c r="AM183" s="189"/>
      <c r="AN183" s="189"/>
      <c r="AO183" s="189"/>
      <c r="AP183" s="189"/>
      <c r="AQ183" s="213"/>
    </row>
    <row r="184" spans="11:43" x14ac:dyDescent="0.3">
      <c r="K184" s="208" t="s">
        <v>333</v>
      </c>
      <c r="L184" s="204">
        <v>1.2</v>
      </c>
      <c r="M184" s="204">
        <v>1.4</v>
      </c>
      <c r="N184" s="204">
        <v>1.6</v>
      </c>
      <c r="O184" s="204">
        <v>1.8</v>
      </c>
      <c r="P184" s="204">
        <v>2</v>
      </c>
      <c r="Q184" s="204">
        <v>2.2000000000000002</v>
      </c>
      <c r="R184" s="204">
        <v>2.4000000000000004</v>
      </c>
      <c r="S184" s="204">
        <v>2.6</v>
      </c>
      <c r="T184" s="204">
        <v>2.8</v>
      </c>
      <c r="U184" s="204">
        <v>3</v>
      </c>
      <c r="V184" s="204">
        <v>3.2</v>
      </c>
      <c r="W184" s="204">
        <v>3.4000000000000004</v>
      </c>
      <c r="X184" s="204">
        <v>3.6000000000000005</v>
      </c>
      <c r="Y184" s="204">
        <v>3.8</v>
      </c>
      <c r="Z184" s="204">
        <v>4</v>
      </c>
      <c r="AA184" s="204">
        <v>4.2</v>
      </c>
      <c r="AB184" s="204">
        <v>4.4000000000000004</v>
      </c>
      <c r="AC184" s="204">
        <v>4.6000000000000005</v>
      </c>
      <c r="AD184" s="204">
        <v>4.8</v>
      </c>
      <c r="AE184" s="204">
        <v>5</v>
      </c>
      <c r="AF184" s="204">
        <v>5.2</v>
      </c>
      <c r="AG184" s="204">
        <v>5.4</v>
      </c>
      <c r="AH184" s="204">
        <v>5.6000000000000005</v>
      </c>
      <c r="AI184" s="204">
        <v>5.8000000000000007</v>
      </c>
      <c r="AJ184" s="204">
        <v>6.0000000000000009</v>
      </c>
      <c r="AK184" s="204">
        <v>6.2</v>
      </c>
      <c r="AL184" s="204">
        <v>6.4</v>
      </c>
      <c r="AM184" s="204">
        <v>6.6000000000000005</v>
      </c>
      <c r="AN184" s="204">
        <v>6.8000000000000007</v>
      </c>
      <c r="AO184" s="204">
        <v>7.0000000000000009</v>
      </c>
      <c r="AP184" s="204">
        <v>7.2</v>
      </c>
      <c r="AQ184" s="212">
        <v>7.4</v>
      </c>
    </row>
    <row r="185" spans="11:43" ht="15" thickBot="1" x14ac:dyDescent="0.35">
      <c r="K185" s="210" t="s">
        <v>81</v>
      </c>
      <c r="L185" s="206">
        <v>706722</v>
      </c>
      <c r="M185" s="206">
        <v>569937</v>
      </c>
      <c r="N185" s="206">
        <v>471148</v>
      </c>
      <c r="O185" s="206">
        <v>406162</v>
      </c>
      <c r="P185" s="206">
        <v>356930</v>
      </c>
      <c r="Q185" s="206">
        <v>318343</v>
      </c>
      <c r="R185" s="206">
        <v>287285</v>
      </c>
      <c r="S185" s="206">
        <v>261749</v>
      </c>
      <c r="T185" s="206">
        <v>240382</v>
      </c>
      <c r="U185" s="206">
        <v>222240</v>
      </c>
      <c r="V185" s="206">
        <v>206644</v>
      </c>
      <c r="W185" s="206">
        <v>194154</v>
      </c>
      <c r="X185" s="206">
        <v>183089</v>
      </c>
      <c r="Y185" s="206">
        <v>173216</v>
      </c>
      <c r="Z185" s="206">
        <v>163593</v>
      </c>
      <c r="AA185" s="206">
        <v>155666</v>
      </c>
      <c r="AB185" s="206">
        <v>149097</v>
      </c>
      <c r="AC185" s="206">
        <v>143061</v>
      </c>
      <c r="AD185" s="206">
        <v>136962</v>
      </c>
      <c r="AE185" s="206">
        <v>131851</v>
      </c>
      <c r="AF185" s="206">
        <v>127108</v>
      </c>
      <c r="AG185" s="206">
        <v>122695</v>
      </c>
      <c r="AH185" s="206">
        <v>118977</v>
      </c>
      <c r="AI185" s="206">
        <v>115101</v>
      </c>
      <c r="AJ185" s="206">
        <v>111823</v>
      </c>
      <c r="AK185" s="206">
        <v>109062</v>
      </c>
      <c r="AL185" s="215">
        <v>106114</v>
      </c>
      <c r="AM185" s="215">
        <v>103322</v>
      </c>
      <c r="AN185" s="215">
        <v>101250</v>
      </c>
      <c r="AO185" s="215">
        <v>98704</v>
      </c>
      <c r="AP185" s="215">
        <v>96811</v>
      </c>
      <c r="AQ185" s="216">
        <v>94990</v>
      </c>
    </row>
    <row r="186" spans="11:43" ht="15" thickTop="1" x14ac:dyDescent="0.3"/>
  </sheetData>
  <mergeCells count="16">
    <mergeCell ref="A4:F4"/>
    <mergeCell ref="A19:E19"/>
    <mergeCell ref="A5:E5"/>
    <mergeCell ref="A6:E6"/>
    <mergeCell ref="A7:E7"/>
    <mergeCell ref="A8:E8"/>
    <mergeCell ref="A9:E9"/>
    <mergeCell ref="A10:E10"/>
    <mergeCell ref="A18:E18"/>
    <mergeCell ref="A12:E12"/>
    <mergeCell ref="A13:E13"/>
    <mergeCell ref="A14:E14"/>
    <mergeCell ref="A15:E15"/>
    <mergeCell ref="A16:E16"/>
    <mergeCell ref="A17:E17"/>
    <mergeCell ref="A11:E1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E181"/>
  <sheetViews>
    <sheetView zoomScale="85" zoomScaleNormal="85" workbookViewId="0">
      <selection activeCell="L22" sqref="L22"/>
    </sheetView>
  </sheetViews>
  <sheetFormatPr defaultRowHeight="13.2" x14ac:dyDescent="0.25"/>
  <cols>
    <col min="1" max="28" width="17.109375" style="13" customWidth="1"/>
    <col min="29" max="261" width="9.109375" style="13"/>
    <col min="262" max="262" width="9.33203125" style="13" customWidth="1"/>
    <col min="263" max="266" width="9.109375" style="13"/>
    <col min="267" max="267" width="16.44140625" style="13" customWidth="1"/>
    <col min="268" max="517" width="9.109375" style="13"/>
    <col min="518" max="518" width="9.33203125" style="13" customWidth="1"/>
    <col min="519" max="522" width="9.109375" style="13"/>
    <col min="523" max="523" width="16.44140625" style="13" customWidth="1"/>
    <col min="524" max="773" width="9.109375" style="13"/>
    <col min="774" max="774" width="9.33203125" style="13" customWidth="1"/>
    <col min="775" max="778" width="9.109375" style="13"/>
    <col min="779" max="779" width="16.44140625" style="13" customWidth="1"/>
    <col min="780" max="1029" width="9.109375" style="13"/>
    <col min="1030" max="1030" width="9.33203125" style="13" customWidth="1"/>
    <col min="1031" max="1034" width="9.109375" style="13"/>
    <col min="1035" max="1035" width="16.44140625" style="13" customWidth="1"/>
    <col min="1036" max="1285" width="9.109375" style="13"/>
    <col min="1286" max="1286" width="9.33203125" style="13" customWidth="1"/>
    <col min="1287" max="1290" width="9.109375" style="13"/>
    <col min="1291" max="1291" width="16.44140625" style="13" customWidth="1"/>
    <col min="1292" max="1541" width="9.109375" style="13"/>
    <col min="1542" max="1542" width="9.33203125" style="13" customWidth="1"/>
    <col min="1543" max="1546" width="9.109375" style="13"/>
    <col min="1547" max="1547" width="16.44140625" style="13" customWidth="1"/>
    <col min="1548" max="1797" width="9.109375" style="13"/>
    <col min="1798" max="1798" width="9.33203125" style="13" customWidth="1"/>
    <col min="1799" max="1802" width="9.109375" style="13"/>
    <col min="1803" max="1803" width="16.44140625" style="13" customWidth="1"/>
    <col min="1804" max="2053" width="9.109375" style="13"/>
    <col min="2054" max="2054" width="9.33203125" style="13" customWidth="1"/>
    <col min="2055" max="2058" width="9.109375" style="13"/>
    <col min="2059" max="2059" width="16.44140625" style="13" customWidth="1"/>
    <col min="2060" max="2309" width="9.109375" style="13"/>
    <col min="2310" max="2310" width="9.33203125" style="13" customWidth="1"/>
    <col min="2311" max="2314" width="9.109375" style="13"/>
    <col min="2315" max="2315" width="16.44140625" style="13" customWidth="1"/>
    <col min="2316" max="2565" width="9.109375" style="13"/>
    <col min="2566" max="2566" width="9.33203125" style="13" customWidth="1"/>
    <col min="2567" max="2570" width="9.109375" style="13"/>
    <col min="2571" max="2571" width="16.44140625" style="13" customWidth="1"/>
    <col min="2572" max="2821" width="9.109375" style="13"/>
    <col min="2822" max="2822" width="9.33203125" style="13" customWidth="1"/>
    <col min="2823" max="2826" width="9.109375" style="13"/>
    <col min="2827" max="2827" width="16.44140625" style="13" customWidth="1"/>
    <col min="2828" max="3077" width="9.109375" style="13"/>
    <col min="3078" max="3078" width="9.33203125" style="13" customWidth="1"/>
    <col min="3079" max="3082" width="9.109375" style="13"/>
    <col min="3083" max="3083" width="16.44140625" style="13" customWidth="1"/>
    <col min="3084" max="3333" width="9.109375" style="13"/>
    <col min="3334" max="3334" width="9.33203125" style="13" customWidth="1"/>
    <col min="3335" max="3338" width="9.109375" style="13"/>
    <col min="3339" max="3339" width="16.44140625" style="13" customWidth="1"/>
    <col min="3340" max="3589" width="9.109375" style="13"/>
    <col min="3590" max="3590" width="9.33203125" style="13" customWidth="1"/>
    <col min="3591" max="3594" width="9.109375" style="13"/>
    <col min="3595" max="3595" width="16.44140625" style="13" customWidth="1"/>
    <col min="3596" max="3845" width="9.109375" style="13"/>
    <col min="3846" max="3846" width="9.33203125" style="13" customWidth="1"/>
    <col min="3847" max="3850" width="9.109375" style="13"/>
    <col min="3851" max="3851" width="16.44140625" style="13" customWidth="1"/>
    <col min="3852" max="4101" width="9.109375" style="13"/>
    <col min="4102" max="4102" width="9.33203125" style="13" customWidth="1"/>
    <col min="4103" max="4106" width="9.109375" style="13"/>
    <col min="4107" max="4107" width="16.44140625" style="13" customWidth="1"/>
    <col min="4108" max="4357" width="9.109375" style="13"/>
    <col min="4358" max="4358" width="9.33203125" style="13" customWidth="1"/>
    <col min="4359" max="4362" width="9.109375" style="13"/>
    <col min="4363" max="4363" width="16.44140625" style="13" customWidth="1"/>
    <col min="4364" max="4613" width="9.109375" style="13"/>
    <col min="4614" max="4614" width="9.33203125" style="13" customWidth="1"/>
    <col min="4615" max="4618" width="9.109375" style="13"/>
    <col min="4619" max="4619" width="16.44140625" style="13" customWidth="1"/>
    <col min="4620" max="4869" width="9.109375" style="13"/>
    <col min="4870" max="4870" width="9.33203125" style="13" customWidth="1"/>
    <col min="4871" max="4874" width="9.109375" style="13"/>
    <col min="4875" max="4875" width="16.44140625" style="13" customWidth="1"/>
    <col min="4876" max="5125" width="9.109375" style="13"/>
    <col min="5126" max="5126" width="9.33203125" style="13" customWidth="1"/>
    <col min="5127" max="5130" width="9.109375" style="13"/>
    <col min="5131" max="5131" width="16.44140625" style="13" customWidth="1"/>
    <col min="5132" max="5381" width="9.109375" style="13"/>
    <col min="5382" max="5382" width="9.33203125" style="13" customWidth="1"/>
    <col min="5383" max="5386" width="9.109375" style="13"/>
    <col min="5387" max="5387" width="16.44140625" style="13" customWidth="1"/>
    <col min="5388" max="5637" width="9.109375" style="13"/>
    <col min="5638" max="5638" width="9.33203125" style="13" customWidth="1"/>
    <col min="5639" max="5642" width="9.109375" style="13"/>
    <col min="5643" max="5643" width="16.44140625" style="13" customWidth="1"/>
    <col min="5644" max="5893" width="9.109375" style="13"/>
    <col min="5894" max="5894" width="9.33203125" style="13" customWidth="1"/>
    <col min="5895" max="5898" width="9.109375" style="13"/>
    <col min="5899" max="5899" width="16.44140625" style="13" customWidth="1"/>
    <col min="5900" max="6149" width="9.109375" style="13"/>
    <col min="6150" max="6150" width="9.33203125" style="13" customWidth="1"/>
    <col min="6151" max="6154" width="9.109375" style="13"/>
    <col min="6155" max="6155" width="16.44140625" style="13" customWidth="1"/>
    <col min="6156" max="6405" width="9.109375" style="13"/>
    <col min="6406" max="6406" width="9.33203125" style="13" customWidth="1"/>
    <col min="6407" max="6410" width="9.109375" style="13"/>
    <col min="6411" max="6411" width="16.44140625" style="13" customWidth="1"/>
    <col min="6412" max="6661" width="9.109375" style="13"/>
    <col min="6662" max="6662" width="9.33203125" style="13" customWidth="1"/>
    <col min="6663" max="6666" width="9.109375" style="13"/>
    <col min="6667" max="6667" width="16.44140625" style="13" customWidth="1"/>
    <col min="6668" max="6917" width="9.109375" style="13"/>
    <col min="6918" max="6918" width="9.33203125" style="13" customWidth="1"/>
    <col min="6919" max="6922" width="9.109375" style="13"/>
    <col min="6923" max="6923" width="16.44140625" style="13" customWidth="1"/>
    <col min="6924" max="7173" width="9.109375" style="13"/>
    <col min="7174" max="7174" width="9.33203125" style="13" customWidth="1"/>
    <col min="7175" max="7178" width="9.109375" style="13"/>
    <col min="7179" max="7179" width="16.44140625" style="13" customWidth="1"/>
    <col min="7180" max="7429" width="9.109375" style="13"/>
    <col min="7430" max="7430" width="9.33203125" style="13" customWidth="1"/>
    <col min="7431" max="7434" width="9.109375" style="13"/>
    <col min="7435" max="7435" width="16.44140625" style="13" customWidth="1"/>
    <col min="7436" max="7685" width="9.109375" style="13"/>
    <col min="7686" max="7686" width="9.33203125" style="13" customWidth="1"/>
    <col min="7687" max="7690" width="9.109375" style="13"/>
    <col min="7691" max="7691" width="16.44140625" style="13" customWidth="1"/>
    <col min="7692" max="7941" width="9.109375" style="13"/>
    <col min="7942" max="7942" width="9.33203125" style="13" customWidth="1"/>
    <col min="7943" max="7946" width="9.109375" style="13"/>
    <col min="7947" max="7947" width="16.44140625" style="13" customWidth="1"/>
    <col min="7948" max="8197" width="9.109375" style="13"/>
    <col min="8198" max="8198" width="9.33203125" style="13" customWidth="1"/>
    <col min="8199" max="8202" width="9.109375" style="13"/>
    <col min="8203" max="8203" width="16.44140625" style="13" customWidth="1"/>
    <col min="8204" max="8453" width="9.109375" style="13"/>
    <col min="8454" max="8454" width="9.33203125" style="13" customWidth="1"/>
    <col min="8455" max="8458" width="9.109375" style="13"/>
    <col min="8459" max="8459" width="16.44140625" style="13" customWidth="1"/>
    <col min="8460" max="8709" width="9.109375" style="13"/>
    <col min="8710" max="8710" width="9.33203125" style="13" customWidth="1"/>
    <col min="8711" max="8714" width="9.109375" style="13"/>
    <col min="8715" max="8715" width="16.44140625" style="13" customWidth="1"/>
    <col min="8716" max="8965" width="9.109375" style="13"/>
    <col min="8966" max="8966" width="9.33203125" style="13" customWidth="1"/>
    <col min="8967" max="8970" width="9.109375" style="13"/>
    <col min="8971" max="8971" width="16.44140625" style="13" customWidth="1"/>
    <col min="8972" max="9221" width="9.109375" style="13"/>
    <col min="9222" max="9222" width="9.33203125" style="13" customWidth="1"/>
    <col min="9223" max="9226" width="9.109375" style="13"/>
    <col min="9227" max="9227" width="16.44140625" style="13" customWidth="1"/>
    <col min="9228" max="9477" width="9.109375" style="13"/>
    <col min="9478" max="9478" width="9.33203125" style="13" customWidth="1"/>
    <col min="9479" max="9482" width="9.109375" style="13"/>
    <col min="9483" max="9483" width="16.44140625" style="13" customWidth="1"/>
    <col min="9484" max="9733" width="9.109375" style="13"/>
    <col min="9734" max="9734" width="9.33203125" style="13" customWidth="1"/>
    <col min="9735" max="9738" width="9.109375" style="13"/>
    <col min="9739" max="9739" width="16.44140625" style="13" customWidth="1"/>
    <col min="9740" max="9989" width="9.109375" style="13"/>
    <col min="9990" max="9990" width="9.33203125" style="13" customWidth="1"/>
    <col min="9991" max="9994" width="9.109375" style="13"/>
    <col min="9995" max="9995" width="16.44140625" style="13" customWidth="1"/>
    <col min="9996" max="10245" width="9.109375" style="13"/>
    <col min="10246" max="10246" width="9.33203125" style="13" customWidth="1"/>
    <col min="10247" max="10250" width="9.109375" style="13"/>
    <col min="10251" max="10251" width="16.44140625" style="13" customWidth="1"/>
    <col min="10252" max="10501" width="9.109375" style="13"/>
    <col min="10502" max="10502" width="9.33203125" style="13" customWidth="1"/>
    <col min="10503" max="10506" width="9.109375" style="13"/>
    <col min="10507" max="10507" width="16.44140625" style="13" customWidth="1"/>
    <col min="10508" max="10757" width="9.109375" style="13"/>
    <col min="10758" max="10758" width="9.33203125" style="13" customWidth="1"/>
    <col min="10759" max="10762" width="9.109375" style="13"/>
    <col min="10763" max="10763" width="16.44140625" style="13" customWidth="1"/>
    <col min="10764" max="11013" width="9.109375" style="13"/>
    <col min="11014" max="11014" width="9.33203125" style="13" customWidth="1"/>
    <col min="11015" max="11018" width="9.109375" style="13"/>
    <col min="11019" max="11019" width="16.44140625" style="13" customWidth="1"/>
    <col min="11020" max="11269" width="9.109375" style="13"/>
    <col min="11270" max="11270" width="9.33203125" style="13" customWidth="1"/>
    <col min="11271" max="11274" width="9.109375" style="13"/>
    <col min="11275" max="11275" width="16.44140625" style="13" customWidth="1"/>
    <col min="11276" max="11525" width="9.109375" style="13"/>
    <col min="11526" max="11526" width="9.33203125" style="13" customWidth="1"/>
    <col min="11527" max="11530" width="9.109375" style="13"/>
    <col min="11531" max="11531" width="16.44140625" style="13" customWidth="1"/>
    <col min="11532" max="11781" width="9.109375" style="13"/>
    <col min="11782" max="11782" width="9.33203125" style="13" customWidth="1"/>
    <col min="11783" max="11786" width="9.109375" style="13"/>
    <col min="11787" max="11787" width="16.44140625" style="13" customWidth="1"/>
    <col min="11788" max="12037" width="9.109375" style="13"/>
    <col min="12038" max="12038" width="9.33203125" style="13" customWidth="1"/>
    <col min="12039" max="12042" width="9.109375" style="13"/>
    <col min="12043" max="12043" width="16.44140625" style="13" customWidth="1"/>
    <col min="12044" max="12293" width="9.109375" style="13"/>
    <col min="12294" max="12294" width="9.33203125" style="13" customWidth="1"/>
    <col min="12295" max="12298" width="9.109375" style="13"/>
    <col min="12299" max="12299" width="16.44140625" style="13" customWidth="1"/>
    <col min="12300" max="12549" width="9.109375" style="13"/>
    <col min="12550" max="12550" width="9.33203125" style="13" customWidth="1"/>
    <col min="12551" max="12554" width="9.109375" style="13"/>
    <col min="12555" max="12555" width="16.44140625" style="13" customWidth="1"/>
    <col min="12556" max="12805" width="9.109375" style="13"/>
    <col min="12806" max="12806" width="9.33203125" style="13" customWidth="1"/>
    <col min="12807" max="12810" width="9.109375" style="13"/>
    <col min="12811" max="12811" width="16.44140625" style="13" customWidth="1"/>
    <col min="12812" max="13061" width="9.109375" style="13"/>
    <col min="13062" max="13062" width="9.33203125" style="13" customWidth="1"/>
    <col min="13063" max="13066" width="9.109375" style="13"/>
    <col min="13067" max="13067" width="16.44140625" style="13" customWidth="1"/>
    <col min="13068" max="13317" width="9.109375" style="13"/>
    <col min="13318" max="13318" width="9.33203125" style="13" customWidth="1"/>
    <col min="13319" max="13322" width="9.109375" style="13"/>
    <col min="13323" max="13323" width="16.44140625" style="13" customWidth="1"/>
    <col min="13324" max="13573" width="9.109375" style="13"/>
    <col min="13574" max="13574" width="9.33203125" style="13" customWidth="1"/>
    <col min="13575" max="13578" width="9.109375" style="13"/>
    <col min="13579" max="13579" width="16.44140625" style="13" customWidth="1"/>
    <col min="13580" max="13829" width="9.109375" style="13"/>
    <col min="13830" max="13830" width="9.33203125" style="13" customWidth="1"/>
    <col min="13831" max="13834" width="9.109375" style="13"/>
    <col min="13835" max="13835" width="16.44140625" style="13" customWidth="1"/>
    <col min="13836" max="14085" width="9.109375" style="13"/>
    <col min="14086" max="14086" width="9.33203125" style="13" customWidth="1"/>
    <col min="14087" max="14090" width="9.109375" style="13"/>
    <col min="14091" max="14091" width="16.44140625" style="13" customWidth="1"/>
    <col min="14092" max="14341" width="9.109375" style="13"/>
    <col min="14342" max="14342" width="9.33203125" style="13" customWidth="1"/>
    <col min="14343" max="14346" width="9.109375" style="13"/>
    <col min="14347" max="14347" width="16.44140625" style="13" customWidth="1"/>
    <col min="14348" max="14597" width="9.109375" style="13"/>
    <col min="14598" max="14598" width="9.33203125" style="13" customWidth="1"/>
    <col min="14599" max="14602" width="9.109375" style="13"/>
    <col min="14603" max="14603" width="16.44140625" style="13" customWidth="1"/>
    <col min="14604" max="14853" width="9.109375" style="13"/>
    <col min="14854" max="14854" width="9.33203125" style="13" customWidth="1"/>
    <col min="14855" max="14858" width="9.109375" style="13"/>
    <col min="14859" max="14859" width="16.44140625" style="13" customWidth="1"/>
    <col min="14860" max="15109" width="9.109375" style="13"/>
    <col min="15110" max="15110" width="9.33203125" style="13" customWidth="1"/>
    <col min="15111" max="15114" width="9.109375" style="13"/>
    <col min="15115" max="15115" width="16.44140625" style="13" customWidth="1"/>
    <col min="15116" max="15365" width="9.109375" style="13"/>
    <col min="15366" max="15366" width="9.33203125" style="13" customWidth="1"/>
    <col min="15367" max="15370" width="9.109375" style="13"/>
    <col min="15371" max="15371" width="16.44140625" style="13" customWidth="1"/>
    <col min="15372" max="15621" width="9.109375" style="13"/>
    <col min="15622" max="15622" width="9.33203125" style="13" customWidth="1"/>
    <col min="15623" max="15626" width="9.109375" style="13"/>
    <col min="15627" max="15627" width="16.44140625" style="13" customWidth="1"/>
    <col min="15628" max="15877" width="9.109375" style="13"/>
    <col min="15878" max="15878" width="9.33203125" style="13" customWidth="1"/>
    <col min="15879" max="15882" width="9.109375" style="13"/>
    <col min="15883" max="15883" width="16.44140625" style="13" customWidth="1"/>
    <col min="15884" max="16133" width="9.109375" style="13"/>
    <col min="16134" max="16134" width="9.33203125" style="13" customWidth="1"/>
    <col min="16135" max="16138" width="9.109375" style="13"/>
    <col min="16139" max="16139" width="16.44140625" style="13" customWidth="1"/>
    <col min="16140" max="16384" width="9.109375" style="13"/>
  </cols>
  <sheetData>
    <row r="1" spans="1:31" ht="15" x14ac:dyDescent="0.25">
      <c r="B1" s="113">
        <v>0</v>
      </c>
    </row>
    <row r="2" spans="1:31" x14ac:dyDescent="0.25">
      <c r="N2" s="75"/>
      <c r="AA2" s="75"/>
    </row>
    <row r="3" spans="1:31" x14ac:dyDescent="0.25">
      <c r="J3" s="35"/>
      <c r="R3" s="74"/>
      <c r="S3" s="73"/>
      <c r="T3" s="75"/>
      <c r="AE3" s="74"/>
    </row>
    <row r="4" spans="1:31" ht="36" customHeight="1" x14ac:dyDescent="0.25">
      <c r="A4" s="75" t="s">
        <v>220</v>
      </c>
      <c r="I4" s="74"/>
      <c r="Q4" s="93" t="s">
        <v>219</v>
      </c>
      <c r="R4" s="101" t="s">
        <v>218</v>
      </c>
      <c r="S4" s="101" t="s">
        <v>217</v>
      </c>
      <c r="T4" s="101" t="s">
        <v>216</v>
      </c>
      <c r="U4" s="101" t="s">
        <v>215</v>
      </c>
      <c r="V4" s="101" t="s">
        <v>214</v>
      </c>
      <c r="W4" s="39"/>
    </row>
    <row r="5" spans="1:31" ht="16.8" x14ac:dyDescent="0.35">
      <c r="A5" s="13" t="s">
        <v>211</v>
      </c>
      <c r="E5" s="74" t="s">
        <v>173</v>
      </c>
      <c r="F5" s="106">
        <v>40000</v>
      </c>
      <c r="G5" s="75" t="s">
        <v>170</v>
      </c>
      <c r="H5" s="74" t="s">
        <v>213</v>
      </c>
      <c r="I5" s="112">
        <v>100</v>
      </c>
      <c r="Q5" s="101" t="s">
        <v>210</v>
      </c>
      <c r="R5" s="101">
        <v>25</v>
      </c>
      <c r="S5" s="101">
        <v>10</v>
      </c>
      <c r="T5" s="101">
        <v>12.5</v>
      </c>
      <c r="U5" s="101">
        <v>2.5</v>
      </c>
      <c r="V5" s="97">
        <v>0.05</v>
      </c>
      <c r="W5" s="97" t="s">
        <v>174</v>
      </c>
      <c r="AA5" s="75"/>
      <c r="AE5" s="74"/>
    </row>
    <row r="6" spans="1:31" x14ac:dyDescent="0.25">
      <c r="F6" s="85"/>
      <c r="H6" s="13" t="s">
        <v>313</v>
      </c>
      <c r="I6" s="13">
        <v>1</v>
      </c>
      <c r="Q6" s="101" t="s">
        <v>210</v>
      </c>
      <c r="R6" s="97">
        <v>50</v>
      </c>
      <c r="S6" s="97"/>
      <c r="T6" s="97">
        <v>50</v>
      </c>
      <c r="U6" s="97"/>
      <c r="V6" s="97"/>
      <c r="W6" s="97" t="s">
        <v>174</v>
      </c>
      <c r="AE6" s="74"/>
    </row>
    <row r="7" spans="1:31" x14ac:dyDescent="0.25">
      <c r="A7" s="75" t="s">
        <v>212</v>
      </c>
      <c r="E7" s="74"/>
      <c r="F7" s="85"/>
      <c r="I7" s="74"/>
      <c r="Q7" s="101" t="s">
        <v>210</v>
      </c>
      <c r="R7" s="97">
        <v>80</v>
      </c>
      <c r="S7" s="97"/>
      <c r="T7" s="97">
        <v>100</v>
      </c>
      <c r="U7" s="97"/>
      <c r="V7" s="97"/>
      <c r="W7" s="97" t="s">
        <v>174</v>
      </c>
      <c r="AE7" s="74"/>
    </row>
    <row r="8" spans="1:31" ht="16.8" x14ac:dyDescent="0.35">
      <c r="A8" s="13" t="s">
        <v>211</v>
      </c>
      <c r="E8" s="74" t="s">
        <v>171</v>
      </c>
      <c r="F8" s="106">
        <v>1000</v>
      </c>
      <c r="G8" s="13" t="s">
        <v>170</v>
      </c>
      <c r="Q8" s="101" t="s">
        <v>210</v>
      </c>
      <c r="R8" s="97">
        <v>100</v>
      </c>
      <c r="S8" s="97"/>
      <c r="T8" s="97">
        <v>200</v>
      </c>
      <c r="U8" s="97"/>
      <c r="V8" s="97"/>
      <c r="W8" s="97" t="s">
        <v>174</v>
      </c>
      <c r="AA8" s="75"/>
      <c r="AE8" s="74"/>
    </row>
    <row r="9" spans="1:31" ht="44.25" customHeight="1" x14ac:dyDescent="0.25">
      <c r="E9" s="74"/>
      <c r="F9" s="85"/>
      <c r="I9" s="107"/>
      <c r="Q9" s="101" t="s">
        <v>210</v>
      </c>
      <c r="R9" s="97">
        <v>150</v>
      </c>
      <c r="S9" s="97"/>
      <c r="T9" s="97">
        <v>400</v>
      </c>
      <c r="U9" s="97"/>
      <c r="V9" s="101"/>
      <c r="W9" s="97" t="s">
        <v>174</v>
      </c>
      <c r="AE9" s="74"/>
    </row>
    <row r="10" spans="1:31" ht="16.2" thickBot="1" x14ac:dyDescent="0.4">
      <c r="A10" s="75" t="s">
        <v>209</v>
      </c>
      <c r="E10" s="74" t="s">
        <v>180</v>
      </c>
      <c r="F10" s="109">
        <v>7.4</v>
      </c>
      <c r="G10" s="13" t="s">
        <v>153</v>
      </c>
      <c r="Q10" s="101" t="s">
        <v>208</v>
      </c>
      <c r="R10" s="101">
        <v>50</v>
      </c>
      <c r="S10" s="101">
        <v>10</v>
      </c>
      <c r="T10" s="101">
        <v>50</v>
      </c>
      <c r="U10" s="101">
        <v>2.2799999999999998</v>
      </c>
      <c r="V10" s="97">
        <v>7.0000000000000007E-2</v>
      </c>
      <c r="W10" s="39"/>
      <c r="AA10" s="75"/>
      <c r="AE10" s="74"/>
    </row>
    <row r="11" spans="1:31" ht="16.2" thickBot="1" x14ac:dyDescent="0.4">
      <c r="E11" s="74"/>
      <c r="F11" s="85"/>
      <c r="H11" s="74" t="s">
        <v>173</v>
      </c>
      <c r="I11" s="111">
        <f>ROUNDDOWN(I6*(IF(P_2&gt;(0.5*P_1),(I5)*(514*E*SQRT((DPкг*P_1кг)/(gn*T_1)))/1.15,I5*(280*P_1кг*SQRT(1/(gn*T_1)))/1.15)),2)</f>
        <v>124984.19</v>
      </c>
      <c r="J11" s="13" t="s">
        <v>207</v>
      </c>
      <c r="Q11" s="97"/>
      <c r="R11" s="97">
        <v>100</v>
      </c>
      <c r="S11" s="97"/>
      <c r="T11" s="97">
        <v>166</v>
      </c>
      <c r="U11" s="97"/>
      <c r="V11" s="97"/>
      <c r="W11" s="39"/>
      <c r="AE11" s="74"/>
    </row>
    <row r="12" spans="1:31" ht="15.6" x14ac:dyDescent="0.35">
      <c r="A12" s="75" t="s">
        <v>206</v>
      </c>
      <c r="E12" s="74" t="s">
        <v>178</v>
      </c>
      <c r="F12" s="110">
        <v>1.2</v>
      </c>
      <c r="G12" s="13" t="s">
        <v>153</v>
      </c>
      <c r="Q12" s="97"/>
      <c r="R12" s="97">
        <v>150</v>
      </c>
      <c r="S12" s="97"/>
      <c r="T12" s="97">
        <v>344</v>
      </c>
      <c r="U12" s="97"/>
      <c r="V12" s="97"/>
      <c r="W12" s="39"/>
      <c r="AA12" s="75"/>
      <c r="AE12" s="74"/>
    </row>
    <row r="13" spans="1:31" x14ac:dyDescent="0.25">
      <c r="E13" s="74"/>
      <c r="F13" s="85"/>
      <c r="Q13" s="97"/>
      <c r="R13" s="97">
        <v>200</v>
      </c>
      <c r="S13" s="97"/>
      <c r="T13" s="97">
        <v>516</v>
      </c>
      <c r="U13" s="97"/>
      <c r="V13" s="97"/>
      <c r="W13" s="39"/>
      <c r="AE13" s="74"/>
    </row>
    <row r="14" spans="1:31" ht="54.75" customHeight="1" x14ac:dyDescent="0.25">
      <c r="A14" s="75" t="s">
        <v>65</v>
      </c>
      <c r="E14" s="74" t="s">
        <v>205</v>
      </c>
      <c r="F14" s="109">
        <v>37.200000000000003</v>
      </c>
      <c r="G14" s="108" t="s">
        <v>204</v>
      </c>
      <c r="I14" s="107"/>
      <c r="Q14" s="97"/>
      <c r="R14" s="97">
        <v>50</v>
      </c>
      <c r="S14" s="97">
        <v>5</v>
      </c>
      <c r="T14" s="97">
        <v>55</v>
      </c>
      <c r="U14" s="97"/>
      <c r="V14" s="97"/>
      <c r="W14" s="39"/>
      <c r="AE14" s="77"/>
    </row>
    <row r="15" spans="1:31" x14ac:dyDescent="0.25">
      <c r="E15" s="74"/>
      <c r="F15" s="85"/>
      <c r="Q15" s="97"/>
      <c r="R15" s="97">
        <v>75</v>
      </c>
      <c r="S15" s="97"/>
      <c r="T15" s="97">
        <v>103</v>
      </c>
      <c r="U15" s="97"/>
      <c r="V15" s="97"/>
      <c r="W15" s="39"/>
    </row>
    <row r="16" spans="1:31" x14ac:dyDescent="0.25">
      <c r="A16" s="13" t="s">
        <v>203</v>
      </c>
      <c r="E16" s="77" t="s">
        <v>202</v>
      </c>
      <c r="F16" s="106">
        <f>Свх!F8/1.2574</f>
        <v>0.59363786415699071</v>
      </c>
      <c r="Q16" s="97"/>
      <c r="R16" s="97">
        <v>100</v>
      </c>
      <c r="S16" s="97"/>
      <c r="T16" s="97">
        <v>185</v>
      </c>
      <c r="U16" s="97"/>
      <c r="V16" s="97"/>
      <c r="W16" s="39"/>
    </row>
    <row r="17" spans="1:30" x14ac:dyDescent="0.25">
      <c r="Q17" s="97"/>
      <c r="R17" s="97">
        <v>150</v>
      </c>
      <c r="S17" s="97"/>
      <c r="T17" s="97">
        <v>284</v>
      </c>
      <c r="U17" s="97"/>
      <c r="V17" s="97"/>
      <c r="W17" s="39"/>
      <c r="AA17" s="75"/>
    </row>
    <row r="18" spans="1:30" x14ac:dyDescent="0.25">
      <c r="H18" s="91"/>
      <c r="I18" s="91"/>
      <c r="J18" s="91"/>
      <c r="Q18" s="97"/>
      <c r="R18" s="97">
        <v>200</v>
      </c>
      <c r="S18" s="97"/>
      <c r="T18" s="97">
        <v>447</v>
      </c>
      <c r="U18" s="97"/>
      <c r="V18" s="97"/>
      <c r="W18" s="97"/>
      <c r="X18" s="81"/>
    </row>
    <row r="19" spans="1:30" ht="15.6" x14ac:dyDescent="0.35">
      <c r="A19" s="75" t="s">
        <v>201</v>
      </c>
      <c r="H19" s="91"/>
      <c r="I19" s="91"/>
      <c r="J19" s="91"/>
      <c r="Q19" s="97"/>
      <c r="R19" s="97">
        <v>300</v>
      </c>
      <c r="S19" s="97"/>
      <c r="T19" s="97">
        <v>1010</v>
      </c>
      <c r="U19" s="97"/>
      <c r="V19" s="101"/>
      <c r="W19" s="97"/>
    </row>
    <row r="20" spans="1:30" x14ac:dyDescent="0.25">
      <c r="H20" s="91"/>
      <c r="I20" s="91"/>
      <c r="J20" s="91"/>
      <c r="Q20" s="101" t="s">
        <v>200</v>
      </c>
      <c r="R20" s="101">
        <v>25</v>
      </c>
      <c r="S20" s="101">
        <v>6.4</v>
      </c>
      <c r="T20" s="101">
        <v>6</v>
      </c>
      <c r="U20" s="101">
        <v>2.5</v>
      </c>
      <c r="V20" s="39"/>
      <c r="W20" s="97"/>
      <c r="AD20" s="83"/>
    </row>
    <row r="21" spans="1:30" x14ac:dyDescent="0.25">
      <c r="Q21" s="39"/>
      <c r="R21" s="97">
        <v>40</v>
      </c>
      <c r="S21" s="39"/>
      <c r="T21" s="97">
        <v>16</v>
      </c>
      <c r="U21" s="39"/>
      <c r="V21" s="39"/>
      <c r="W21" s="105"/>
    </row>
    <row r="22" spans="1:30" x14ac:dyDescent="0.25">
      <c r="D22" s="83"/>
      <c r="E22" s="103" t="str">
        <f>IF(P_2&gt;(0.5*P_1),(1.15*Qmax)/(514*E*SQRT((DPкг*P_1кг)/(gn*T_1))),"")</f>
        <v/>
      </c>
      <c r="F22" s="13" t="s">
        <v>194</v>
      </c>
      <c r="K22" s="103" t="str">
        <f>IF(P_2&gt;(0.5*P_1),(1.15*Qmin)/(514*E*SQRT((DPкг*P_1кг)/(gn*T_1))),"")</f>
        <v/>
      </c>
      <c r="L22" s="13" t="s">
        <v>194</v>
      </c>
      <c r="Q22" s="39"/>
      <c r="R22" s="97">
        <v>50</v>
      </c>
      <c r="S22" s="39"/>
      <c r="T22" s="97">
        <v>22</v>
      </c>
      <c r="U22" s="97">
        <v>5</v>
      </c>
      <c r="V22" s="97">
        <v>0.15</v>
      </c>
      <c r="W22" s="97"/>
    </row>
    <row r="23" spans="1:30" x14ac:dyDescent="0.25">
      <c r="Q23" s="97"/>
      <c r="R23" s="97">
        <v>80</v>
      </c>
      <c r="S23" s="97"/>
      <c r="T23" s="97">
        <v>66.5</v>
      </c>
      <c r="U23" s="97"/>
      <c r="V23" s="97"/>
      <c r="W23" s="97"/>
    </row>
    <row r="24" spans="1:30" x14ac:dyDescent="0.25">
      <c r="Q24" s="100"/>
      <c r="R24" s="97">
        <v>100</v>
      </c>
      <c r="S24" s="97"/>
      <c r="T24" s="97">
        <v>110</v>
      </c>
      <c r="U24" s="97"/>
      <c r="V24" s="97"/>
      <c r="W24" s="97"/>
    </row>
    <row r="25" spans="1:30" x14ac:dyDescent="0.25">
      <c r="Q25" s="97"/>
      <c r="R25" s="97">
        <v>150</v>
      </c>
      <c r="S25" s="97"/>
      <c r="T25" s="97">
        <v>314</v>
      </c>
      <c r="U25" s="97"/>
      <c r="V25" s="97"/>
      <c r="W25" s="97"/>
      <c r="AA25" s="75"/>
    </row>
    <row r="26" spans="1:30" x14ac:dyDescent="0.25">
      <c r="Q26" s="104"/>
      <c r="R26" s="97">
        <v>200</v>
      </c>
      <c r="S26" s="97"/>
      <c r="T26" s="97">
        <v>424</v>
      </c>
      <c r="U26" s="97"/>
      <c r="V26" s="101"/>
      <c r="W26" s="97"/>
      <c r="AA26" s="75"/>
    </row>
    <row r="27" spans="1:30" x14ac:dyDescent="0.25">
      <c r="Q27" s="101" t="s">
        <v>199</v>
      </c>
      <c r="R27" s="97">
        <v>15</v>
      </c>
      <c r="S27" s="97">
        <v>10</v>
      </c>
      <c r="T27" s="97">
        <v>2</v>
      </c>
      <c r="U27" s="97"/>
      <c r="V27" s="101"/>
      <c r="W27" s="97" t="s">
        <v>174</v>
      </c>
    </row>
    <row r="28" spans="1:30" ht="15.6" x14ac:dyDescent="0.35">
      <c r="A28" s="75" t="s">
        <v>198</v>
      </c>
      <c r="Q28" s="101" t="s">
        <v>197</v>
      </c>
      <c r="R28" s="101">
        <v>25</v>
      </c>
      <c r="S28" s="101">
        <v>10</v>
      </c>
      <c r="T28" s="101">
        <v>15</v>
      </c>
      <c r="U28" s="101"/>
      <c r="V28" s="97"/>
      <c r="W28" s="97" t="s">
        <v>174</v>
      </c>
    </row>
    <row r="29" spans="1:30" x14ac:dyDescent="0.25">
      <c r="Q29" s="101" t="s">
        <v>196</v>
      </c>
      <c r="R29" s="97">
        <v>50</v>
      </c>
      <c r="S29" s="97">
        <v>10</v>
      </c>
      <c r="T29" s="97">
        <v>60</v>
      </c>
      <c r="U29" s="97"/>
      <c r="V29" s="97"/>
      <c r="W29" s="97" t="s">
        <v>174</v>
      </c>
      <c r="AD29" s="81"/>
    </row>
    <row r="30" spans="1:30" x14ac:dyDescent="0.25">
      <c r="Q30" s="101" t="s">
        <v>195</v>
      </c>
      <c r="R30" s="97">
        <v>80</v>
      </c>
      <c r="S30" s="97">
        <v>10</v>
      </c>
      <c r="T30" s="97">
        <v>110</v>
      </c>
      <c r="U30" s="97" t="s">
        <v>99</v>
      </c>
      <c r="V30" s="97" t="s">
        <v>99</v>
      </c>
      <c r="W30" s="97" t="s">
        <v>174</v>
      </c>
    </row>
    <row r="31" spans="1:30" x14ac:dyDescent="0.25">
      <c r="E31" s="103">
        <f>IF(P_2&gt;(0.5*P_1),"",1.15*Qmax/(280*P_1кг*SQRT(1/(gn*T_1))))</f>
        <v>32.004045879805524</v>
      </c>
      <c r="F31" s="13" t="s">
        <v>194</v>
      </c>
      <c r="K31" s="103">
        <f>IF(P_2&gt;(0.5*P_1),"",1.15*Qmin/(280*P_1кг*SQRT(1/(gn*T_1))))</f>
        <v>0.80010114699513812</v>
      </c>
      <c r="L31" s="13" t="s">
        <v>194</v>
      </c>
      <c r="Q31" s="101" t="s">
        <v>193</v>
      </c>
      <c r="R31" s="97">
        <v>100</v>
      </c>
      <c r="S31" s="97">
        <v>10</v>
      </c>
      <c r="T31" s="97">
        <v>230</v>
      </c>
      <c r="U31" s="99"/>
      <c r="V31" s="97"/>
      <c r="W31" s="97" t="s">
        <v>174</v>
      </c>
    </row>
    <row r="32" spans="1:30" x14ac:dyDescent="0.25">
      <c r="Q32" s="101" t="s">
        <v>192</v>
      </c>
      <c r="R32" s="97">
        <v>150</v>
      </c>
      <c r="S32" s="97">
        <v>10</v>
      </c>
      <c r="T32" s="97">
        <v>450</v>
      </c>
      <c r="U32" s="99"/>
      <c r="V32" s="101"/>
      <c r="W32" s="97" t="s">
        <v>174</v>
      </c>
    </row>
    <row r="33" spans="1:31" x14ac:dyDescent="0.25">
      <c r="Q33" s="101" t="s">
        <v>191</v>
      </c>
      <c r="R33" s="101" t="s">
        <v>190</v>
      </c>
      <c r="S33" s="101">
        <v>7.5</v>
      </c>
      <c r="T33" s="101">
        <v>25</v>
      </c>
      <c r="U33" s="101" t="s">
        <v>187</v>
      </c>
      <c r="V33" s="97">
        <v>0.16</v>
      </c>
      <c r="W33" s="97"/>
    </row>
    <row r="34" spans="1:31" x14ac:dyDescent="0.25">
      <c r="Q34" s="97" t="s">
        <v>189</v>
      </c>
      <c r="R34" s="97" t="s">
        <v>188</v>
      </c>
      <c r="S34" s="97">
        <v>7.5</v>
      </c>
      <c r="T34" s="97">
        <v>100</v>
      </c>
      <c r="U34" s="97" t="s">
        <v>187</v>
      </c>
      <c r="V34" s="97">
        <v>0.16</v>
      </c>
      <c r="W34" s="97"/>
    </row>
    <row r="35" spans="1:31" ht="15.6" x14ac:dyDescent="0.25">
      <c r="Q35" s="97" t="s">
        <v>186</v>
      </c>
      <c r="R35" s="97" t="s">
        <v>185</v>
      </c>
      <c r="S35" s="97">
        <v>7.5</v>
      </c>
      <c r="T35" s="97">
        <v>200</v>
      </c>
      <c r="U35" s="97" t="s">
        <v>184</v>
      </c>
      <c r="V35" s="101">
        <v>0.16</v>
      </c>
      <c r="W35" s="97"/>
      <c r="AA35" s="74"/>
      <c r="AB35" s="78"/>
      <c r="AC35" s="79"/>
      <c r="AE35" s="80"/>
    </row>
    <row r="36" spans="1:31" x14ac:dyDescent="0.25">
      <c r="A36" s="232" t="s">
        <v>183</v>
      </c>
      <c r="B36" s="232"/>
      <c r="C36" s="232"/>
      <c r="D36" s="232"/>
      <c r="E36" s="232"/>
      <c r="F36" s="232"/>
      <c r="G36" s="232"/>
      <c r="H36" s="232"/>
      <c r="I36" s="232"/>
      <c r="J36" s="232"/>
      <c r="Q36" s="97" t="s">
        <v>175</v>
      </c>
      <c r="R36" s="97">
        <v>25</v>
      </c>
      <c r="S36" s="97"/>
      <c r="T36" s="97">
        <v>8</v>
      </c>
      <c r="U36" s="102"/>
      <c r="V36" s="100"/>
      <c r="W36" s="97" t="s">
        <v>174</v>
      </c>
      <c r="AB36" s="74"/>
      <c r="AC36" s="79"/>
      <c r="AD36" s="75"/>
      <c r="AE36" s="75"/>
    </row>
    <row r="37" spans="1:31" ht="16.8" x14ac:dyDescent="0.35">
      <c r="A37" s="96" t="s">
        <v>182</v>
      </c>
      <c r="B37" s="100">
        <f>P_1кг-P_2кг</f>
        <v>63.228530000000006</v>
      </c>
      <c r="C37" s="39" t="s">
        <v>177</v>
      </c>
      <c r="D37" s="231" t="s">
        <v>181</v>
      </c>
      <c r="E37" s="231"/>
      <c r="F37" s="231"/>
      <c r="G37" s="231"/>
      <c r="H37" s="231"/>
      <c r="I37" s="231"/>
      <c r="J37" s="231"/>
      <c r="Q37" s="97" t="s">
        <v>175</v>
      </c>
      <c r="R37" s="97">
        <v>50</v>
      </c>
      <c r="S37" s="97"/>
      <c r="T37" s="97">
        <v>30</v>
      </c>
      <c r="U37" s="101"/>
      <c r="V37" s="100"/>
      <c r="W37" s="97" t="s">
        <v>174</v>
      </c>
      <c r="AB37" s="74"/>
      <c r="AC37" s="79"/>
      <c r="AD37" s="75"/>
      <c r="AE37" s="75"/>
    </row>
    <row r="38" spans="1:31" ht="16.8" x14ac:dyDescent="0.35">
      <c r="A38" s="93" t="s">
        <v>180</v>
      </c>
      <c r="B38" s="100">
        <f>10.19815*P_1+1</f>
        <v>76.466310000000007</v>
      </c>
      <c r="C38" s="99" t="s">
        <v>177</v>
      </c>
      <c r="D38" s="230" t="s">
        <v>179</v>
      </c>
      <c r="E38" s="230"/>
      <c r="F38" s="230"/>
      <c r="G38" s="230"/>
      <c r="H38" s="230"/>
      <c r="I38" s="230"/>
      <c r="J38" s="230"/>
      <c r="Q38" s="97" t="s">
        <v>175</v>
      </c>
      <c r="R38" s="97">
        <v>100</v>
      </c>
      <c r="S38" s="97"/>
      <c r="T38" s="97">
        <v>130</v>
      </c>
      <c r="U38" s="101"/>
      <c r="V38" s="100"/>
      <c r="W38" s="97" t="s">
        <v>174</v>
      </c>
      <c r="AB38" s="74"/>
      <c r="AC38" s="75"/>
      <c r="AE38" s="75"/>
    </row>
    <row r="39" spans="1:31" ht="16.8" x14ac:dyDescent="0.35">
      <c r="A39" s="93" t="s">
        <v>178</v>
      </c>
      <c r="B39" s="100">
        <f>10.19815*P_2+1</f>
        <v>13.237779999999999</v>
      </c>
      <c r="C39" s="99" t="s">
        <v>177</v>
      </c>
      <c r="D39" s="230" t="s">
        <v>176</v>
      </c>
      <c r="E39" s="230"/>
      <c r="F39" s="230"/>
      <c r="G39" s="230"/>
      <c r="H39" s="230"/>
      <c r="I39" s="230"/>
      <c r="J39" s="230"/>
      <c r="K39" s="91"/>
      <c r="L39" s="91"/>
      <c r="M39" s="91"/>
      <c r="N39" s="91"/>
      <c r="O39" s="91"/>
      <c r="P39" s="91"/>
      <c r="Q39" s="97" t="s">
        <v>175</v>
      </c>
      <c r="R39" s="97">
        <v>200</v>
      </c>
      <c r="S39" s="97"/>
      <c r="T39" s="97">
        <v>550</v>
      </c>
      <c r="U39" s="97"/>
      <c r="V39" s="97"/>
      <c r="W39" s="97" t="s">
        <v>174</v>
      </c>
      <c r="AB39" s="74"/>
      <c r="AC39" s="75"/>
      <c r="AE39" s="75"/>
    </row>
    <row r="40" spans="1:31" ht="16.8" x14ac:dyDescent="0.35">
      <c r="A40" s="93" t="s">
        <v>173</v>
      </c>
      <c r="B40" s="97">
        <f>Qmax</f>
        <v>40000</v>
      </c>
      <c r="C40" s="39" t="s">
        <v>170</v>
      </c>
      <c r="D40" s="230" t="s">
        <v>172</v>
      </c>
      <c r="E40" s="230"/>
      <c r="F40" s="230"/>
      <c r="G40" s="230"/>
      <c r="H40" s="230"/>
      <c r="I40" s="230"/>
      <c r="J40" s="230"/>
      <c r="K40" s="91"/>
      <c r="L40" s="91"/>
      <c r="M40" s="91"/>
      <c r="N40" s="91"/>
      <c r="O40" s="91"/>
      <c r="P40" s="91"/>
      <c r="Q40" s="98"/>
      <c r="R40" s="75"/>
      <c r="AB40" s="74"/>
      <c r="AC40" s="75"/>
      <c r="AD40" s="78"/>
      <c r="AE40" s="75"/>
    </row>
    <row r="41" spans="1:31" ht="16.8" x14ac:dyDescent="0.35">
      <c r="A41" s="93" t="s">
        <v>171</v>
      </c>
      <c r="B41" s="97">
        <f>Qmin</f>
        <v>1000</v>
      </c>
      <c r="C41" s="39" t="s">
        <v>170</v>
      </c>
      <c r="D41" s="230" t="s">
        <v>169</v>
      </c>
      <c r="E41" s="230"/>
      <c r="F41" s="230"/>
      <c r="G41" s="230"/>
      <c r="H41" s="230"/>
      <c r="I41" s="230"/>
      <c r="J41" s="230"/>
      <c r="K41" s="91"/>
      <c r="L41" s="91"/>
      <c r="M41" s="91"/>
      <c r="N41" s="91"/>
      <c r="O41" s="98"/>
      <c r="P41" s="95"/>
      <c r="Q41" s="91"/>
      <c r="R41" s="75"/>
      <c r="AB41" s="77"/>
      <c r="AC41" s="76"/>
      <c r="AE41" s="75"/>
    </row>
    <row r="42" spans="1:31" ht="15.6" x14ac:dyDescent="0.35">
      <c r="A42" s="93" t="s">
        <v>168</v>
      </c>
      <c r="B42" s="97">
        <f>273+t</f>
        <v>310.2</v>
      </c>
      <c r="C42" s="96" t="s">
        <v>167</v>
      </c>
      <c r="D42" s="230" t="s">
        <v>166</v>
      </c>
      <c r="E42" s="230"/>
      <c r="F42" s="230"/>
      <c r="G42" s="230"/>
      <c r="H42" s="230"/>
      <c r="I42" s="230"/>
      <c r="J42" s="230"/>
      <c r="K42" s="91"/>
      <c r="L42" s="91"/>
      <c r="M42" s="91"/>
      <c r="N42" s="91"/>
      <c r="O42" s="91"/>
      <c r="P42" s="95"/>
      <c r="Q42" s="91"/>
      <c r="R42" s="75"/>
      <c r="AB42" s="74"/>
      <c r="AC42" s="76"/>
      <c r="AE42" s="75"/>
    </row>
    <row r="43" spans="1:31" ht="16.8" x14ac:dyDescent="0.35">
      <c r="A43" s="94" t="s">
        <v>165</v>
      </c>
      <c r="B43" s="92">
        <f>1.205*D</f>
        <v>0.71533362630917385</v>
      </c>
      <c r="C43" s="39" t="s">
        <v>164</v>
      </c>
      <c r="D43" s="230" t="s">
        <v>163</v>
      </c>
      <c r="E43" s="230"/>
      <c r="F43" s="230"/>
      <c r="G43" s="230"/>
      <c r="H43" s="230"/>
      <c r="I43" s="230"/>
      <c r="J43" s="230"/>
      <c r="K43" s="91"/>
      <c r="L43" s="91"/>
      <c r="M43" s="91"/>
      <c r="N43" s="91"/>
      <c r="O43" s="91"/>
      <c r="P43" s="91"/>
      <c r="Q43" s="91"/>
    </row>
    <row r="44" spans="1:31" x14ac:dyDescent="0.25">
      <c r="A44" s="93" t="s">
        <v>162</v>
      </c>
      <c r="B44" s="92">
        <f>IF(((P_1кг-P_2кг)/P_1кг)&lt;0.08,1,(1-0.46*(P_1кг-P_2кг)/P_1кг))</f>
        <v>0.61963479341424998</v>
      </c>
      <c r="C44" s="39"/>
      <c r="D44" s="230" t="s">
        <v>161</v>
      </c>
      <c r="E44" s="230"/>
      <c r="F44" s="230"/>
      <c r="G44" s="230"/>
      <c r="H44" s="230"/>
      <c r="I44" s="230"/>
      <c r="J44" s="230"/>
      <c r="K44" s="91"/>
      <c r="L44" s="91"/>
      <c r="M44" s="91"/>
      <c r="N44" s="91"/>
      <c r="O44" s="91"/>
      <c r="P44" s="91"/>
      <c r="Q44" s="91"/>
      <c r="S44" s="74"/>
    </row>
    <row r="45" spans="1:31" x14ac:dyDescent="0.25">
      <c r="K45" s="91"/>
      <c r="L45" s="91"/>
      <c r="M45" s="91"/>
      <c r="N45" s="91"/>
      <c r="O45" s="91"/>
      <c r="P45" s="91"/>
      <c r="Q45" s="91"/>
    </row>
    <row r="46" spans="1:31" x14ac:dyDescent="0.25">
      <c r="K46" s="91"/>
      <c r="L46" s="91"/>
      <c r="M46" s="91"/>
      <c r="N46" s="91"/>
      <c r="O46" s="91"/>
      <c r="Q46" s="83"/>
    </row>
    <row r="47" spans="1:31" x14ac:dyDescent="0.25">
      <c r="D47" s="91"/>
    </row>
    <row r="48" spans="1:31" x14ac:dyDescent="0.25">
      <c r="D48" s="91"/>
    </row>
    <row r="49" spans="1:17" x14ac:dyDescent="0.25">
      <c r="D49" s="91"/>
    </row>
    <row r="50" spans="1:17" x14ac:dyDescent="0.25">
      <c r="D50" s="91"/>
    </row>
    <row r="51" spans="1:17" x14ac:dyDescent="0.25">
      <c r="D51" s="91"/>
    </row>
    <row r="52" spans="1:17" x14ac:dyDescent="0.25">
      <c r="D52" s="91"/>
    </row>
    <row r="53" spans="1:17" x14ac:dyDescent="0.25">
      <c r="D53" s="91"/>
    </row>
    <row r="54" spans="1:17" x14ac:dyDescent="0.25">
      <c r="D54" s="91"/>
    </row>
    <row r="55" spans="1:17" x14ac:dyDescent="0.25">
      <c r="D55" s="91"/>
    </row>
    <row r="56" spans="1:17" x14ac:dyDescent="0.25">
      <c r="A56" s="75"/>
      <c r="D56" s="91"/>
      <c r="E56" s="76"/>
    </row>
    <row r="57" spans="1:17" x14ac:dyDescent="0.25">
      <c r="D57" s="91"/>
      <c r="G57" s="73"/>
      <c r="H57" s="73"/>
      <c r="I57" s="73"/>
      <c r="J57" s="73"/>
      <c r="K57" s="73"/>
    </row>
    <row r="58" spans="1:17" x14ac:dyDescent="0.25">
      <c r="G58" s="73"/>
      <c r="H58" s="73"/>
      <c r="I58" s="73"/>
      <c r="J58" s="73"/>
      <c r="K58" s="73"/>
      <c r="N58" s="75"/>
    </row>
    <row r="59" spans="1:17" x14ac:dyDescent="0.25">
      <c r="A59" s="75"/>
      <c r="G59" s="73"/>
      <c r="H59" s="73"/>
      <c r="I59" s="73"/>
      <c r="J59" s="73"/>
      <c r="K59" s="73"/>
    </row>
    <row r="60" spans="1:17" x14ac:dyDescent="0.25">
      <c r="G60" s="73"/>
      <c r="H60" s="73"/>
      <c r="I60" s="73"/>
      <c r="J60" s="73"/>
      <c r="K60" s="73"/>
      <c r="Q60" s="81"/>
    </row>
    <row r="61" spans="1:17" x14ac:dyDescent="0.25">
      <c r="A61" s="75"/>
      <c r="B61" s="90"/>
      <c r="G61" s="86"/>
      <c r="H61" s="73"/>
      <c r="I61" s="73"/>
      <c r="J61" s="73"/>
      <c r="K61" s="73"/>
    </row>
    <row r="62" spans="1:17" x14ac:dyDescent="0.25">
      <c r="F62" s="73"/>
      <c r="G62" s="73"/>
      <c r="H62" s="73"/>
      <c r="I62" s="73"/>
      <c r="J62" s="73"/>
      <c r="K62" s="73"/>
    </row>
    <row r="63" spans="1:17" x14ac:dyDescent="0.25">
      <c r="A63" s="75"/>
      <c r="F63" s="73"/>
      <c r="G63" s="73"/>
      <c r="H63" s="73"/>
      <c r="I63" s="73"/>
      <c r="J63" s="73"/>
      <c r="K63" s="73"/>
      <c r="N63" s="75"/>
    </row>
    <row r="64" spans="1:17" x14ac:dyDescent="0.25">
      <c r="F64" s="73"/>
      <c r="G64" s="73"/>
      <c r="H64" s="73"/>
      <c r="J64" s="73"/>
      <c r="K64" s="73"/>
    </row>
    <row r="65" spans="1:20" x14ac:dyDescent="0.25">
      <c r="F65" s="73"/>
      <c r="G65" s="73"/>
      <c r="H65" s="73"/>
      <c r="I65" s="73"/>
      <c r="J65" s="73"/>
      <c r="K65" s="73"/>
    </row>
    <row r="66" spans="1:20" ht="15.6" x14ac:dyDescent="0.25">
      <c r="F66" s="73"/>
      <c r="G66" s="73"/>
      <c r="H66" s="73"/>
      <c r="I66" s="73"/>
      <c r="J66" s="73"/>
      <c r="K66" s="73"/>
      <c r="P66" s="79"/>
      <c r="R66" s="80"/>
    </row>
    <row r="67" spans="1:20" x14ac:dyDescent="0.25">
      <c r="F67" s="73"/>
      <c r="G67" s="73"/>
      <c r="H67" s="73"/>
      <c r="I67" s="73"/>
      <c r="J67" s="73"/>
      <c r="K67" s="73"/>
      <c r="P67" s="79"/>
      <c r="Q67" s="75"/>
      <c r="R67" s="75"/>
      <c r="S67" s="84"/>
    </row>
    <row r="68" spans="1:20" x14ac:dyDescent="0.25">
      <c r="A68" s="75"/>
      <c r="F68" s="73"/>
      <c r="G68" s="73"/>
      <c r="H68" s="73"/>
      <c r="I68" s="73"/>
      <c r="J68" s="73"/>
      <c r="K68" s="73"/>
      <c r="P68" s="79"/>
      <c r="Q68" s="75"/>
      <c r="R68" s="75"/>
      <c r="S68" s="85"/>
    </row>
    <row r="69" spans="1:20" ht="15.6" x14ac:dyDescent="0.25">
      <c r="E69" s="80"/>
      <c r="F69" s="73"/>
      <c r="G69" s="73"/>
      <c r="H69" s="73"/>
      <c r="I69" s="73"/>
      <c r="J69" s="73"/>
      <c r="K69" s="73"/>
      <c r="P69" s="75"/>
      <c r="R69" s="75"/>
      <c r="S69" s="84"/>
    </row>
    <row r="70" spans="1:20" x14ac:dyDescent="0.25">
      <c r="E70" s="75"/>
      <c r="F70" s="73"/>
      <c r="G70" s="89"/>
      <c r="H70" s="73"/>
      <c r="I70" s="73"/>
      <c r="J70" s="73"/>
      <c r="K70" s="87"/>
      <c r="P70" s="75"/>
      <c r="R70" s="75"/>
      <c r="S70" s="85"/>
    </row>
    <row r="71" spans="1:20" x14ac:dyDescent="0.25">
      <c r="E71" s="75"/>
      <c r="F71" s="73"/>
      <c r="G71" s="73"/>
      <c r="H71" s="73"/>
      <c r="I71" s="73"/>
      <c r="J71" s="73"/>
      <c r="K71" s="73"/>
      <c r="N71" s="75"/>
      <c r="P71" s="75"/>
      <c r="Q71" s="78"/>
      <c r="R71" s="75"/>
      <c r="S71" s="84"/>
    </row>
    <row r="72" spans="1:20" x14ac:dyDescent="0.25">
      <c r="E72" s="75"/>
      <c r="F72" s="73"/>
      <c r="G72" s="73"/>
      <c r="H72" s="73"/>
      <c r="I72" s="73"/>
      <c r="J72" s="88"/>
      <c r="K72" s="73"/>
      <c r="P72" s="76"/>
      <c r="R72" s="75"/>
      <c r="S72" s="85"/>
    </row>
    <row r="73" spans="1:20" x14ac:dyDescent="0.25">
      <c r="E73" s="75"/>
      <c r="F73" s="73"/>
      <c r="G73" s="73"/>
      <c r="H73" s="73"/>
      <c r="I73" s="73"/>
      <c r="J73" s="73"/>
      <c r="K73" s="73"/>
      <c r="P73" s="76"/>
      <c r="R73" s="75"/>
      <c r="S73" s="84"/>
    </row>
    <row r="74" spans="1:20" x14ac:dyDescent="0.25">
      <c r="D74" s="81"/>
      <c r="E74" s="75"/>
      <c r="F74" s="73"/>
      <c r="G74" s="73"/>
      <c r="H74" s="73"/>
      <c r="I74" s="73"/>
      <c r="J74" s="73"/>
      <c r="K74" s="73"/>
    </row>
    <row r="75" spans="1:20" x14ac:dyDescent="0.25">
      <c r="E75" s="75"/>
      <c r="F75" s="73"/>
      <c r="G75" s="73"/>
      <c r="H75" s="73"/>
      <c r="I75" s="73"/>
      <c r="J75" s="73"/>
      <c r="K75" s="73"/>
    </row>
    <row r="76" spans="1:20" x14ac:dyDescent="0.25">
      <c r="A76" s="75"/>
      <c r="E76" s="75"/>
      <c r="F76" s="73"/>
      <c r="G76" s="73"/>
      <c r="H76" s="73"/>
      <c r="I76" s="73"/>
      <c r="J76" s="73"/>
      <c r="K76" s="73"/>
    </row>
    <row r="77" spans="1:20" x14ac:dyDescent="0.25">
      <c r="F77" s="73"/>
      <c r="G77" s="73"/>
      <c r="H77" s="73"/>
      <c r="I77" s="73"/>
      <c r="J77" s="73"/>
      <c r="K77" s="73"/>
      <c r="T77" s="78"/>
    </row>
    <row r="78" spans="1:20" x14ac:dyDescent="0.25">
      <c r="F78" s="82"/>
      <c r="G78" s="73"/>
      <c r="H78" s="73"/>
      <c r="I78" s="73"/>
      <c r="J78" s="73"/>
      <c r="K78" s="73"/>
    </row>
    <row r="79" spans="1:20" x14ac:dyDescent="0.25">
      <c r="F79" s="73"/>
      <c r="G79" s="73"/>
      <c r="H79" s="73"/>
      <c r="I79" s="73"/>
      <c r="J79" s="73"/>
      <c r="K79" s="73"/>
    </row>
    <row r="80" spans="1:20" x14ac:dyDescent="0.25">
      <c r="F80" s="73"/>
      <c r="G80" s="73"/>
      <c r="H80" s="73"/>
      <c r="I80" s="73"/>
      <c r="J80" s="87"/>
      <c r="K80" s="73"/>
      <c r="N80" s="74"/>
      <c r="O80" s="78"/>
    </row>
    <row r="81" spans="1:31" x14ac:dyDescent="0.25">
      <c r="D81" s="75"/>
      <c r="F81" s="73"/>
      <c r="G81" s="73"/>
      <c r="H81" s="73"/>
      <c r="I81" s="73"/>
      <c r="J81" s="73"/>
      <c r="K81" s="73"/>
      <c r="O81" s="74"/>
    </row>
    <row r="82" spans="1:31" x14ac:dyDescent="0.25">
      <c r="D82" s="75"/>
      <c r="F82" s="73"/>
      <c r="G82" s="73"/>
      <c r="H82" s="73"/>
      <c r="I82" s="73"/>
      <c r="J82" s="73"/>
      <c r="K82" s="73"/>
      <c r="O82" s="74"/>
    </row>
    <row r="83" spans="1:31" x14ac:dyDescent="0.25">
      <c r="F83" s="73"/>
      <c r="G83" s="73"/>
      <c r="H83" s="73"/>
      <c r="I83" s="73"/>
      <c r="J83" s="73"/>
      <c r="K83" s="73"/>
      <c r="O83" s="74"/>
    </row>
    <row r="84" spans="1:31" x14ac:dyDescent="0.25">
      <c r="F84" s="73"/>
      <c r="G84" s="73"/>
      <c r="H84" s="73"/>
      <c r="I84" s="73"/>
      <c r="J84" s="73"/>
      <c r="K84" s="73"/>
      <c r="O84" s="74"/>
      <c r="AB84" s="74"/>
    </row>
    <row r="85" spans="1:31" ht="15.6" x14ac:dyDescent="0.25">
      <c r="A85" s="74"/>
      <c r="B85" s="78"/>
      <c r="C85" s="79"/>
      <c r="D85" s="78"/>
      <c r="F85" s="73"/>
      <c r="G85" s="73"/>
      <c r="H85" s="73"/>
      <c r="I85" s="73"/>
      <c r="J85" s="73"/>
      <c r="K85" s="73"/>
      <c r="O85" s="74"/>
      <c r="R85" s="74"/>
      <c r="AB85" s="74"/>
      <c r="AC85" s="79"/>
      <c r="AE85" s="80"/>
    </row>
    <row r="86" spans="1:31" x14ac:dyDescent="0.25">
      <c r="B86" s="74"/>
      <c r="C86" s="79"/>
      <c r="F86" s="73"/>
      <c r="G86" s="73"/>
      <c r="H86" s="73"/>
      <c r="I86" s="73"/>
      <c r="J86" s="73"/>
      <c r="K86" s="73"/>
      <c r="O86" s="77"/>
      <c r="AB86" s="77"/>
      <c r="AC86" s="79"/>
      <c r="AD86" s="75"/>
      <c r="AE86" s="75"/>
    </row>
    <row r="87" spans="1:31" x14ac:dyDescent="0.25">
      <c r="B87" s="74"/>
      <c r="C87" s="79"/>
      <c r="F87" s="73"/>
      <c r="G87" s="73"/>
      <c r="H87" s="73"/>
      <c r="I87" s="73"/>
      <c r="J87" s="73"/>
      <c r="K87" s="73"/>
      <c r="O87" s="74"/>
      <c r="R87" s="74"/>
      <c r="AB87" s="74"/>
      <c r="AC87" s="79"/>
      <c r="AD87" s="75"/>
      <c r="AE87" s="75"/>
    </row>
    <row r="88" spans="1:31" x14ac:dyDescent="0.25">
      <c r="B88" s="74"/>
      <c r="C88" s="75"/>
      <c r="E88" s="74"/>
      <c r="F88" s="73"/>
      <c r="G88" s="73"/>
      <c r="H88" s="73"/>
      <c r="I88" s="73"/>
      <c r="J88" s="73"/>
      <c r="K88" s="73"/>
      <c r="R88" s="74"/>
      <c r="AC88" s="75"/>
      <c r="AE88" s="75"/>
    </row>
    <row r="89" spans="1:31" x14ac:dyDescent="0.25">
      <c r="B89" s="74"/>
      <c r="C89" s="75"/>
      <c r="F89" s="73"/>
      <c r="G89" s="73"/>
      <c r="H89" s="73"/>
      <c r="I89" s="73"/>
      <c r="J89" s="73"/>
      <c r="K89" s="73"/>
      <c r="AC89" s="75"/>
      <c r="AE89" s="75"/>
    </row>
    <row r="90" spans="1:31" x14ac:dyDescent="0.25">
      <c r="B90" s="74"/>
      <c r="C90" s="75"/>
      <c r="E90" s="74"/>
      <c r="F90" s="73"/>
      <c r="G90" s="73"/>
      <c r="H90" s="73"/>
      <c r="I90" s="73"/>
      <c r="J90" s="73"/>
      <c r="K90" s="73"/>
      <c r="AC90" s="75"/>
      <c r="AD90" s="78"/>
      <c r="AE90" s="75"/>
    </row>
    <row r="91" spans="1:31" x14ac:dyDescent="0.25">
      <c r="B91" s="77"/>
      <c r="C91" s="76"/>
      <c r="E91" s="74"/>
      <c r="F91" s="73"/>
      <c r="G91" s="73"/>
      <c r="H91" s="73"/>
      <c r="I91" s="73"/>
      <c r="J91" s="73"/>
      <c r="K91" s="73"/>
      <c r="AC91" s="76"/>
      <c r="AE91" s="75"/>
    </row>
    <row r="92" spans="1:31" x14ac:dyDescent="0.25">
      <c r="B92" s="74"/>
      <c r="C92" s="76"/>
      <c r="E92" s="74"/>
      <c r="F92" s="73"/>
      <c r="G92" s="73"/>
      <c r="H92" s="73"/>
      <c r="I92" s="73"/>
      <c r="J92" s="73"/>
      <c r="K92" s="73"/>
      <c r="AC92" s="76"/>
      <c r="AE92" s="75"/>
    </row>
    <row r="93" spans="1:31" x14ac:dyDescent="0.25">
      <c r="E93" s="74"/>
      <c r="F93" s="73"/>
      <c r="G93" s="73"/>
      <c r="H93" s="73"/>
      <c r="I93" s="73"/>
      <c r="J93" s="73"/>
      <c r="K93" s="73"/>
    </row>
    <row r="94" spans="1:31" x14ac:dyDescent="0.25">
      <c r="E94" s="74"/>
      <c r="F94" s="73"/>
      <c r="G94" s="73"/>
      <c r="H94" s="73"/>
      <c r="I94" s="73"/>
      <c r="J94" s="73"/>
      <c r="K94" s="73"/>
    </row>
    <row r="95" spans="1:31" x14ac:dyDescent="0.25">
      <c r="E95" s="74"/>
      <c r="F95" s="73"/>
      <c r="G95" s="73"/>
      <c r="H95" s="73"/>
      <c r="I95" s="73"/>
      <c r="J95" s="73"/>
      <c r="K95" s="73"/>
    </row>
    <row r="96" spans="1:31" x14ac:dyDescent="0.25">
      <c r="E96" s="74"/>
      <c r="F96" s="73"/>
      <c r="G96" s="73"/>
      <c r="H96" s="73"/>
      <c r="I96" s="73"/>
      <c r="J96" s="73"/>
      <c r="K96" s="73"/>
    </row>
    <row r="97" spans="1:31" x14ac:dyDescent="0.25">
      <c r="E97" s="74"/>
      <c r="F97" s="73"/>
      <c r="G97" s="73"/>
      <c r="H97" s="73"/>
      <c r="I97" s="73"/>
      <c r="J97" s="73"/>
      <c r="K97" s="73"/>
    </row>
    <row r="98" spans="1:31" x14ac:dyDescent="0.25">
      <c r="E98" s="74"/>
      <c r="F98" s="73"/>
      <c r="G98" s="73"/>
      <c r="H98" s="73"/>
      <c r="I98" s="73"/>
      <c r="J98" s="73"/>
      <c r="K98" s="73"/>
      <c r="N98" s="75"/>
      <c r="AA98" s="75"/>
    </row>
    <row r="99" spans="1:31" x14ac:dyDescent="0.25">
      <c r="E99" s="77"/>
      <c r="F99" s="73"/>
      <c r="G99" s="73"/>
      <c r="H99" s="73"/>
      <c r="I99" s="73"/>
      <c r="J99" s="73"/>
      <c r="K99" s="73"/>
      <c r="W99" s="83"/>
    </row>
    <row r="100" spans="1:31" x14ac:dyDescent="0.25">
      <c r="F100" s="73"/>
      <c r="G100" s="73"/>
      <c r="H100" s="73"/>
      <c r="I100" s="73"/>
      <c r="J100" s="73"/>
      <c r="K100" s="73"/>
    </row>
    <row r="101" spans="1:31" x14ac:dyDescent="0.25">
      <c r="F101" s="73"/>
      <c r="G101" s="73"/>
      <c r="H101" s="73"/>
      <c r="I101" s="73"/>
      <c r="J101" s="73"/>
      <c r="K101" s="73"/>
      <c r="N101" s="75"/>
      <c r="AA101" s="75"/>
    </row>
    <row r="102" spans="1:31" x14ac:dyDescent="0.25">
      <c r="F102" s="73"/>
      <c r="G102" s="73"/>
      <c r="H102" s="73"/>
      <c r="I102" s="73"/>
      <c r="J102" s="73"/>
      <c r="K102" s="73"/>
      <c r="S102" s="74"/>
    </row>
    <row r="103" spans="1:31" x14ac:dyDescent="0.25">
      <c r="A103" s="75"/>
      <c r="F103" s="73"/>
      <c r="G103" s="73"/>
      <c r="H103" s="73"/>
      <c r="I103" s="73"/>
      <c r="J103" s="73"/>
      <c r="K103" s="73"/>
      <c r="X103" s="81"/>
    </row>
    <row r="104" spans="1:31" x14ac:dyDescent="0.25">
      <c r="F104" s="73"/>
      <c r="G104" s="73"/>
      <c r="H104" s="73"/>
      <c r="I104" s="73"/>
      <c r="J104" s="73"/>
      <c r="K104" s="73"/>
      <c r="AA104" s="75"/>
      <c r="AE104" s="74"/>
    </row>
    <row r="105" spans="1:31" x14ac:dyDescent="0.25">
      <c r="F105" s="73"/>
      <c r="G105" s="73"/>
      <c r="H105" s="73"/>
      <c r="I105" s="73"/>
      <c r="J105" s="73"/>
      <c r="K105" s="73"/>
    </row>
    <row r="106" spans="1:31" x14ac:dyDescent="0.25">
      <c r="A106" s="75"/>
      <c r="F106" s="73"/>
      <c r="G106" s="73"/>
      <c r="H106" s="73"/>
      <c r="I106" s="73"/>
      <c r="J106" s="73"/>
      <c r="K106" s="73"/>
      <c r="AA106" s="75"/>
      <c r="AE106" s="74"/>
    </row>
    <row r="107" spans="1:31" x14ac:dyDescent="0.25">
      <c r="F107" s="73"/>
      <c r="G107" s="73"/>
      <c r="H107" s="73"/>
      <c r="I107" s="73"/>
      <c r="J107" s="73"/>
      <c r="K107" s="73"/>
      <c r="W107" s="81"/>
      <c r="AE107" s="74"/>
    </row>
    <row r="108" spans="1:31" x14ac:dyDescent="0.25">
      <c r="F108" s="73"/>
      <c r="G108" s="73"/>
      <c r="H108" s="73"/>
      <c r="I108" s="73"/>
      <c r="J108" s="73"/>
      <c r="K108" s="73"/>
      <c r="AA108" s="75"/>
      <c r="AE108" s="74"/>
    </row>
    <row r="109" spans="1:31" x14ac:dyDescent="0.25">
      <c r="A109" s="75"/>
      <c r="F109" s="73"/>
      <c r="G109" s="73"/>
      <c r="H109" s="73"/>
      <c r="I109" s="73"/>
      <c r="J109" s="73"/>
      <c r="K109" s="73"/>
      <c r="AE109" s="74"/>
    </row>
    <row r="110" spans="1:31" x14ac:dyDescent="0.25">
      <c r="F110" s="73"/>
      <c r="G110" s="73"/>
      <c r="H110" s="73"/>
      <c r="I110" s="73"/>
      <c r="J110" s="73"/>
      <c r="K110" s="73"/>
      <c r="AE110" s="74"/>
    </row>
    <row r="111" spans="1:31" x14ac:dyDescent="0.25">
      <c r="A111" s="75"/>
      <c r="F111" s="73"/>
      <c r="G111" s="86"/>
      <c r="H111" s="73"/>
      <c r="I111" s="73"/>
      <c r="J111" s="73"/>
      <c r="K111" s="73"/>
      <c r="AE111" s="74"/>
    </row>
    <row r="112" spans="1:31" x14ac:dyDescent="0.25">
      <c r="F112" s="73"/>
      <c r="G112" s="73"/>
      <c r="H112" s="73"/>
      <c r="I112" s="73"/>
      <c r="J112" s="73"/>
      <c r="K112" s="73"/>
      <c r="S112" s="84"/>
      <c r="AE112" s="74"/>
    </row>
    <row r="113" spans="1:31" x14ac:dyDescent="0.25">
      <c r="A113" s="75"/>
      <c r="F113" s="73"/>
      <c r="G113" s="73"/>
      <c r="H113" s="73"/>
      <c r="I113" s="73"/>
      <c r="J113" s="73"/>
      <c r="K113" s="73"/>
      <c r="S113" s="85"/>
      <c r="AA113" s="75"/>
      <c r="AE113" s="74"/>
    </row>
    <row r="114" spans="1:31" x14ac:dyDescent="0.25">
      <c r="F114" s="73"/>
      <c r="G114" s="73"/>
      <c r="H114" s="73"/>
      <c r="I114" s="73"/>
      <c r="J114" s="73"/>
      <c r="K114" s="73"/>
      <c r="S114" s="85"/>
      <c r="AE114" s="74"/>
    </row>
    <row r="115" spans="1:31" x14ac:dyDescent="0.25">
      <c r="F115" s="73"/>
      <c r="G115" s="73"/>
      <c r="H115" s="73"/>
      <c r="I115" s="73"/>
      <c r="J115" s="73"/>
      <c r="K115" s="73"/>
      <c r="S115" s="84"/>
      <c r="AE115" s="77"/>
    </row>
    <row r="116" spans="1:31" x14ac:dyDescent="0.25">
      <c r="D116" s="83"/>
      <c r="F116" s="73"/>
      <c r="G116" s="73"/>
      <c r="H116" s="73"/>
      <c r="I116" s="73"/>
      <c r="J116" s="73"/>
      <c r="K116" s="73"/>
    </row>
    <row r="117" spans="1:31" x14ac:dyDescent="0.25">
      <c r="F117" s="73"/>
      <c r="G117" s="73"/>
      <c r="H117" s="73"/>
      <c r="I117" s="73"/>
      <c r="J117" s="73"/>
      <c r="K117" s="73"/>
    </row>
    <row r="118" spans="1:31" x14ac:dyDescent="0.25">
      <c r="A118" s="75"/>
      <c r="F118" s="73"/>
      <c r="G118" s="73"/>
      <c r="H118" s="73"/>
      <c r="I118" s="73"/>
      <c r="J118" s="73"/>
      <c r="K118" s="73"/>
      <c r="T118" s="75"/>
    </row>
    <row r="119" spans="1:31" ht="15.6" x14ac:dyDescent="0.25">
      <c r="E119" s="80"/>
      <c r="F119" s="73"/>
      <c r="G119" s="73"/>
      <c r="H119" s="73"/>
      <c r="I119" s="73"/>
      <c r="J119" s="73"/>
      <c r="K119" s="73"/>
    </row>
    <row r="120" spans="1:31" x14ac:dyDescent="0.25">
      <c r="E120" s="75"/>
      <c r="F120" s="73"/>
      <c r="G120" s="73"/>
      <c r="H120" s="73"/>
      <c r="I120" s="73"/>
      <c r="J120" s="73"/>
      <c r="K120" s="73"/>
    </row>
    <row r="121" spans="1:31" x14ac:dyDescent="0.25">
      <c r="E121" s="75"/>
      <c r="F121" s="73"/>
      <c r="G121" s="73"/>
      <c r="H121" s="73"/>
      <c r="I121" s="73"/>
      <c r="J121" s="73"/>
      <c r="K121" s="73"/>
      <c r="AA121" s="75"/>
      <c r="AD121" s="83"/>
    </row>
    <row r="122" spans="1:31" x14ac:dyDescent="0.25">
      <c r="E122" s="75"/>
      <c r="F122" s="73"/>
      <c r="G122" s="73"/>
      <c r="H122" s="73"/>
      <c r="I122" s="73"/>
      <c r="J122" s="73"/>
      <c r="K122" s="73"/>
    </row>
    <row r="123" spans="1:31" x14ac:dyDescent="0.25">
      <c r="E123" s="75"/>
      <c r="F123" s="73"/>
      <c r="G123" s="73"/>
      <c r="H123" s="73"/>
      <c r="I123" s="73"/>
      <c r="J123" s="73"/>
      <c r="K123" s="73"/>
    </row>
    <row r="124" spans="1:31" x14ac:dyDescent="0.25">
      <c r="D124" s="81"/>
      <c r="E124" s="75"/>
      <c r="F124" s="73"/>
      <c r="G124" s="73"/>
      <c r="H124" s="73"/>
      <c r="I124" s="73"/>
      <c r="J124" s="73"/>
      <c r="K124" s="73"/>
    </row>
    <row r="125" spans="1:31" x14ac:dyDescent="0.25">
      <c r="E125" s="75"/>
      <c r="F125" s="73"/>
      <c r="G125" s="73"/>
      <c r="H125" s="73"/>
      <c r="I125" s="73"/>
      <c r="J125" s="73"/>
      <c r="K125" s="73"/>
    </row>
    <row r="126" spans="1:31" x14ac:dyDescent="0.25">
      <c r="A126" s="75"/>
      <c r="E126" s="75"/>
      <c r="F126" s="73"/>
      <c r="G126" s="73"/>
      <c r="H126" s="73"/>
      <c r="I126" s="73"/>
      <c r="J126" s="73"/>
      <c r="K126" s="73"/>
    </row>
    <row r="127" spans="1:31" x14ac:dyDescent="0.25">
      <c r="F127" s="73"/>
      <c r="G127" s="73"/>
      <c r="H127" s="73"/>
      <c r="I127" s="73"/>
      <c r="J127" s="73"/>
      <c r="K127" s="73"/>
    </row>
    <row r="128" spans="1:31" x14ac:dyDescent="0.25">
      <c r="F128" s="82"/>
      <c r="G128" s="73"/>
      <c r="H128" s="73"/>
      <c r="I128" s="73"/>
      <c r="J128" s="73"/>
      <c r="K128" s="73"/>
    </row>
    <row r="129" spans="1:31" x14ac:dyDescent="0.25">
      <c r="F129" s="73"/>
      <c r="G129" s="73"/>
      <c r="H129" s="73"/>
      <c r="I129" s="73"/>
      <c r="J129" s="73"/>
      <c r="K129" s="73"/>
      <c r="AD129" s="81"/>
    </row>
    <row r="130" spans="1:31" x14ac:dyDescent="0.25">
      <c r="F130" s="73"/>
      <c r="G130" s="73"/>
      <c r="H130" s="73"/>
      <c r="I130" s="73"/>
      <c r="J130" s="73"/>
      <c r="K130" s="73"/>
      <c r="AA130" s="74"/>
      <c r="AB130" s="78"/>
    </row>
    <row r="131" spans="1:31" x14ac:dyDescent="0.25">
      <c r="D131" s="75"/>
      <c r="F131" s="73"/>
      <c r="G131" s="73"/>
      <c r="H131" s="73"/>
      <c r="I131" s="73"/>
      <c r="J131" s="73"/>
      <c r="K131" s="73"/>
      <c r="AB131" s="74"/>
    </row>
    <row r="132" spans="1:31" x14ac:dyDescent="0.25">
      <c r="D132" s="75"/>
      <c r="F132" s="73"/>
      <c r="G132" s="73"/>
      <c r="H132" s="73"/>
      <c r="I132" s="73"/>
      <c r="J132" s="73"/>
      <c r="K132" s="73"/>
      <c r="AB132" s="74"/>
    </row>
    <row r="133" spans="1:31" x14ac:dyDescent="0.25">
      <c r="F133" s="73"/>
      <c r="G133" s="73"/>
      <c r="H133" s="73"/>
      <c r="I133" s="73"/>
      <c r="J133" s="73"/>
      <c r="K133" s="73"/>
      <c r="AB133" s="74"/>
    </row>
    <row r="134" spans="1:31" x14ac:dyDescent="0.25">
      <c r="F134" s="73"/>
      <c r="G134" s="73"/>
      <c r="H134" s="73"/>
      <c r="I134" s="73"/>
      <c r="J134" s="73"/>
      <c r="K134" s="73"/>
      <c r="AB134" s="74"/>
    </row>
    <row r="135" spans="1:31" ht="15.6" x14ac:dyDescent="0.25">
      <c r="A135" s="74"/>
      <c r="B135" s="78"/>
      <c r="C135" s="79"/>
      <c r="D135" s="78"/>
      <c r="F135" s="73"/>
      <c r="G135" s="73"/>
      <c r="H135" s="73"/>
      <c r="I135" s="73"/>
      <c r="J135" s="73"/>
      <c r="K135" s="73"/>
      <c r="AB135" s="74"/>
      <c r="AC135" s="79"/>
      <c r="AE135" s="80"/>
    </row>
    <row r="136" spans="1:31" x14ac:dyDescent="0.25">
      <c r="B136" s="74"/>
      <c r="C136" s="79"/>
      <c r="F136" s="73"/>
      <c r="G136" s="73"/>
      <c r="H136" s="73"/>
      <c r="I136" s="73"/>
      <c r="J136" s="73"/>
      <c r="K136" s="73"/>
      <c r="AB136" s="77"/>
      <c r="AC136" s="79"/>
      <c r="AD136" s="75"/>
      <c r="AE136" s="75"/>
    </row>
    <row r="137" spans="1:31" x14ac:dyDescent="0.25">
      <c r="B137" s="74"/>
      <c r="C137" s="79"/>
      <c r="F137" s="73"/>
      <c r="G137" s="73"/>
      <c r="H137" s="73"/>
      <c r="I137" s="73"/>
      <c r="J137" s="73"/>
      <c r="K137" s="73"/>
      <c r="AB137" s="74"/>
      <c r="AC137" s="79"/>
      <c r="AD137" s="75"/>
      <c r="AE137" s="75"/>
    </row>
    <row r="138" spans="1:31" x14ac:dyDescent="0.25">
      <c r="B138" s="74"/>
      <c r="C138" s="75"/>
      <c r="E138" s="74"/>
      <c r="F138" s="73"/>
      <c r="G138" s="73"/>
      <c r="H138" s="73"/>
      <c r="I138" s="73"/>
      <c r="J138" s="73"/>
      <c r="K138" s="73"/>
      <c r="AC138" s="75"/>
      <c r="AE138" s="75"/>
    </row>
    <row r="139" spans="1:31" x14ac:dyDescent="0.25">
      <c r="B139" s="74"/>
      <c r="C139" s="75"/>
      <c r="F139" s="73"/>
      <c r="G139" s="73"/>
      <c r="H139" s="73"/>
      <c r="I139" s="73"/>
      <c r="J139" s="73"/>
      <c r="K139" s="73"/>
      <c r="AC139" s="75"/>
      <c r="AE139" s="75"/>
    </row>
    <row r="140" spans="1:31" x14ac:dyDescent="0.25">
      <c r="B140" s="74"/>
      <c r="C140" s="75"/>
      <c r="E140" s="74"/>
      <c r="F140" s="73"/>
      <c r="G140" s="73"/>
      <c r="H140" s="73"/>
      <c r="I140" s="73"/>
      <c r="J140" s="73"/>
      <c r="K140" s="73"/>
      <c r="AC140" s="75"/>
      <c r="AD140" s="78"/>
      <c r="AE140" s="75"/>
    </row>
    <row r="141" spans="1:31" x14ac:dyDescent="0.25">
      <c r="B141" s="77"/>
      <c r="C141" s="76"/>
      <c r="E141" s="74"/>
      <c r="F141" s="73"/>
      <c r="G141" s="73"/>
      <c r="H141" s="73"/>
      <c r="I141" s="73"/>
      <c r="J141" s="73"/>
      <c r="K141" s="73"/>
      <c r="AC141" s="76"/>
      <c r="AE141" s="75"/>
    </row>
    <row r="142" spans="1:31" x14ac:dyDescent="0.25">
      <c r="B142" s="74"/>
      <c r="C142" s="76"/>
      <c r="F142" s="73"/>
      <c r="G142" s="73"/>
      <c r="H142" s="73"/>
      <c r="I142" s="73"/>
      <c r="J142" s="73"/>
      <c r="K142" s="73"/>
      <c r="AC142" s="76"/>
      <c r="AE142" s="75"/>
    </row>
    <row r="143" spans="1:31" x14ac:dyDescent="0.25">
      <c r="F143" s="73"/>
      <c r="G143" s="73"/>
      <c r="H143" s="73"/>
      <c r="I143" s="73"/>
      <c r="J143" s="73"/>
      <c r="K143" s="73"/>
    </row>
    <row r="144" spans="1:31" x14ac:dyDescent="0.25">
      <c r="F144" s="73"/>
      <c r="G144" s="73"/>
      <c r="H144" s="73"/>
      <c r="I144" s="73"/>
      <c r="J144" s="73"/>
      <c r="K144" s="73"/>
    </row>
    <row r="145" spans="1:31" x14ac:dyDescent="0.25">
      <c r="F145" s="73"/>
      <c r="G145" s="73"/>
      <c r="H145" s="73"/>
      <c r="I145" s="73"/>
      <c r="J145" s="73"/>
      <c r="K145" s="73"/>
    </row>
    <row r="146" spans="1:31" x14ac:dyDescent="0.25">
      <c r="F146" s="73"/>
      <c r="G146" s="73"/>
      <c r="H146" s="73"/>
      <c r="I146" s="73"/>
      <c r="J146" s="73"/>
      <c r="K146" s="73"/>
    </row>
    <row r="147" spans="1:31" x14ac:dyDescent="0.25">
      <c r="F147" s="73"/>
      <c r="G147" s="73"/>
      <c r="H147" s="73"/>
      <c r="I147" s="73"/>
      <c r="J147" s="73"/>
      <c r="K147" s="73"/>
    </row>
    <row r="148" spans="1:31" x14ac:dyDescent="0.25">
      <c r="F148" s="73"/>
      <c r="G148" s="73"/>
      <c r="H148" s="73"/>
      <c r="I148" s="73"/>
      <c r="J148" s="73"/>
      <c r="K148" s="73"/>
      <c r="AA148" s="75"/>
    </row>
    <row r="149" spans="1:31" x14ac:dyDescent="0.25">
      <c r="F149" s="73"/>
      <c r="G149" s="73"/>
      <c r="H149" s="73"/>
    </row>
    <row r="150" spans="1:31" x14ac:dyDescent="0.25">
      <c r="F150" s="73"/>
      <c r="G150" s="73"/>
      <c r="H150" s="73"/>
    </row>
    <row r="151" spans="1:31" x14ac:dyDescent="0.25">
      <c r="F151" s="73"/>
      <c r="G151" s="73"/>
      <c r="H151" s="73"/>
      <c r="AA151" s="75"/>
    </row>
    <row r="152" spans="1:31" x14ac:dyDescent="0.25">
      <c r="F152" s="73"/>
      <c r="G152" s="73"/>
      <c r="H152" s="73"/>
    </row>
    <row r="153" spans="1:31" x14ac:dyDescent="0.25">
      <c r="A153" s="75"/>
      <c r="F153" s="73"/>
      <c r="G153" s="73"/>
      <c r="H153" s="73"/>
    </row>
    <row r="154" spans="1:31" x14ac:dyDescent="0.25">
      <c r="F154" s="73"/>
      <c r="G154" s="73"/>
      <c r="H154" s="73"/>
      <c r="AE154" s="74"/>
    </row>
    <row r="155" spans="1:31" x14ac:dyDescent="0.25">
      <c r="F155" s="73"/>
    </row>
    <row r="156" spans="1:31" x14ac:dyDescent="0.25">
      <c r="A156" s="75"/>
      <c r="F156" s="73"/>
      <c r="AE156" s="74"/>
    </row>
    <row r="157" spans="1:31" x14ac:dyDescent="0.25">
      <c r="F157" s="73"/>
      <c r="AE157" s="74"/>
    </row>
    <row r="158" spans="1:31" x14ac:dyDescent="0.25">
      <c r="F158" s="73"/>
    </row>
    <row r="159" spans="1:31" x14ac:dyDescent="0.25">
      <c r="F159" s="73"/>
    </row>
    <row r="160" spans="1:31" x14ac:dyDescent="0.25">
      <c r="F160" s="73"/>
    </row>
    <row r="161" spans="6:6" x14ac:dyDescent="0.25">
      <c r="F161" s="73"/>
    </row>
    <row r="162" spans="6:6" x14ac:dyDescent="0.25">
      <c r="F162" s="73"/>
    </row>
    <row r="163" spans="6:6" x14ac:dyDescent="0.25">
      <c r="F163" s="73"/>
    </row>
    <row r="164" spans="6:6" x14ac:dyDescent="0.25">
      <c r="F164" s="73"/>
    </row>
    <row r="165" spans="6:6" x14ac:dyDescent="0.25">
      <c r="F165" s="73"/>
    </row>
    <row r="166" spans="6:6" x14ac:dyDescent="0.25">
      <c r="F166" s="73"/>
    </row>
    <row r="167" spans="6:6" x14ac:dyDescent="0.25">
      <c r="F167" s="73"/>
    </row>
    <row r="168" spans="6:6" x14ac:dyDescent="0.25">
      <c r="F168" s="73"/>
    </row>
    <row r="169" spans="6:6" x14ac:dyDescent="0.25">
      <c r="F169" s="73"/>
    </row>
    <row r="170" spans="6:6" x14ac:dyDescent="0.25">
      <c r="F170" s="73"/>
    </row>
    <row r="171" spans="6:6" x14ac:dyDescent="0.25">
      <c r="F171" s="73"/>
    </row>
    <row r="172" spans="6:6" x14ac:dyDescent="0.25">
      <c r="F172" s="73"/>
    </row>
    <row r="173" spans="6:6" x14ac:dyDescent="0.25">
      <c r="F173" s="73"/>
    </row>
    <row r="174" spans="6:6" x14ac:dyDescent="0.25">
      <c r="F174" s="73"/>
    </row>
    <row r="175" spans="6:6" x14ac:dyDescent="0.25">
      <c r="F175" s="73"/>
    </row>
    <row r="176" spans="6:6" x14ac:dyDescent="0.25">
      <c r="F176" s="73"/>
    </row>
    <row r="177" spans="6:6" x14ac:dyDescent="0.25">
      <c r="F177" s="73"/>
    </row>
    <row r="178" spans="6:6" x14ac:dyDescent="0.25">
      <c r="F178" s="73"/>
    </row>
    <row r="179" spans="6:6" x14ac:dyDescent="0.25">
      <c r="F179" s="73"/>
    </row>
    <row r="180" spans="6:6" x14ac:dyDescent="0.25">
      <c r="F180" s="73"/>
    </row>
    <row r="181" spans="6:6" x14ac:dyDescent="0.25">
      <c r="F181" s="73"/>
    </row>
  </sheetData>
  <dataConsolidate/>
  <mergeCells count="9">
    <mergeCell ref="D38:J38"/>
    <mergeCell ref="D37:J37"/>
    <mergeCell ref="A36:J36"/>
    <mergeCell ref="D44:J44"/>
    <mergeCell ref="D43:J43"/>
    <mergeCell ref="D42:J42"/>
    <mergeCell ref="D41:J41"/>
    <mergeCell ref="D40:J40"/>
    <mergeCell ref="D39:J3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1:Q36"/>
  <sheetViews>
    <sheetView topLeftCell="C7" zoomScaleNormal="100" workbookViewId="0">
      <selection activeCell="F10" sqref="F10"/>
    </sheetView>
  </sheetViews>
  <sheetFormatPr defaultColWidth="9.109375" defaultRowHeight="13.2" x14ac:dyDescent="0.25"/>
  <cols>
    <col min="1" max="1" width="9.109375" style="13"/>
    <col min="2" max="2" width="81.88671875" style="13" customWidth="1"/>
    <col min="3" max="3" width="34.109375" style="13" customWidth="1"/>
    <col min="4" max="4" width="25" style="13" customWidth="1"/>
    <col min="5" max="5" width="35.33203125" style="13" customWidth="1"/>
    <col min="6" max="6" width="28.33203125" style="13" customWidth="1"/>
    <col min="7" max="7" width="9.109375" style="13"/>
    <col min="8" max="8" width="27.5546875" style="13" customWidth="1"/>
    <col min="9" max="16384" width="9.109375" style="13"/>
  </cols>
  <sheetData>
    <row r="1" spans="1:17" ht="15.6" x14ac:dyDescent="0.3">
      <c r="B1" s="157"/>
      <c r="C1" s="157"/>
      <c r="D1" s="157"/>
      <c r="E1" s="157"/>
      <c r="F1" s="31"/>
      <c r="G1" s="59"/>
      <c r="H1" s="114"/>
      <c r="I1" s="91"/>
    </row>
    <row r="2" spans="1:17" ht="30.6" customHeight="1" x14ac:dyDescent="0.25">
      <c r="B2" s="59"/>
      <c r="C2" s="59"/>
      <c r="D2" s="59"/>
      <c r="E2" s="59"/>
      <c r="F2" s="31"/>
      <c r="G2" s="59"/>
      <c r="H2" s="31"/>
    </row>
    <row r="3" spans="1:17" ht="39" customHeight="1" x14ac:dyDescent="0.25">
      <c r="B3" s="59"/>
      <c r="C3" s="59"/>
      <c r="D3" s="59"/>
      <c r="E3" s="59"/>
      <c r="F3" s="31"/>
      <c r="G3" s="59"/>
      <c r="H3" s="156"/>
    </row>
    <row r="4" spans="1:17" ht="23.4" customHeight="1" x14ac:dyDescent="0.4">
      <c r="A4" s="233" t="s">
        <v>249</v>
      </c>
      <c r="B4" s="234" t="s">
        <v>248</v>
      </c>
      <c r="C4" s="234"/>
      <c r="D4" s="234"/>
      <c r="E4" s="234"/>
      <c r="F4" s="234"/>
    </row>
    <row r="5" spans="1:17" ht="23.4" customHeight="1" x14ac:dyDescent="0.25">
      <c r="A5" s="233"/>
      <c r="B5" s="155" t="s">
        <v>159</v>
      </c>
      <c r="C5" s="154" t="s">
        <v>158</v>
      </c>
      <c r="D5" s="153" t="s">
        <v>157</v>
      </c>
      <c r="E5" s="152" t="s">
        <v>2</v>
      </c>
      <c r="F5" s="152" t="s">
        <v>156</v>
      </c>
    </row>
    <row r="6" spans="1:17" ht="24" customHeight="1" x14ac:dyDescent="0.4">
      <c r="A6" s="134">
        <v>1</v>
      </c>
      <c r="B6" s="151" t="s">
        <v>155</v>
      </c>
      <c r="C6" s="134" t="s">
        <v>247</v>
      </c>
      <c r="D6" s="134" t="s">
        <v>153</v>
      </c>
      <c r="E6" s="134" t="s">
        <v>146</v>
      </c>
      <c r="F6" s="146">
        <v>7.4</v>
      </c>
      <c r="G6" s="145"/>
      <c r="H6" s="150"/>
      <c r="Q6" s="85"/>
    </row>
    <row r="7" spans="1:17" ht="24" customHeight="1" x14ac:dyDescent="0.4">
      <c r="A7" s="134">
        <f t="shared" ref="A7:A14" si="0">A6+1</f>
        <v>2</v>
      </c>
      <c r="B7" s="151" t="s">
        <v>246</v>
      </c>
      <c r="C7" s="134" t="s">
        <v>245</v>
      </c>
      <c r="D7" s="134" t="s">
        <v>153</v>
      </c>
      <c r="E7" s="134" t="s">
        <v>146</v>
      </c>
      <c r="F7" s="146">
        <v>1.2</v>
      </c>
      <c r="G7" s="145"/>
      <c r="H7" s="150">
        <f>F6-F7</f>
        <v>6.2</v>
      </c>
      <c r="Q7" s="85"/>
    </row>
    <row r="8" spans="1:17" ht="22.2" customHeight="1" x14ac:dyDescent="0.4">
      <c r="A8" s="134">
        <f t="shared" si="0"/>
        <v>3</v>
      </c>
      <c r="B8" s="147" t="s">
        <v>244</v>
      </c>
      <c r="C8" s="138" t="s">
        <v>243</v>
      </c>
      <c r="D8" s="138" t="s">
        <v>242</v>
      </c>
      <c r="E8" s="134" t="s">
        <v>146</v>
      </c>
      <c r="F8" s="146">
        <v>190000</v>
      </c>
      <c r="G8" s="145"/>
      <c r="H8" s="150">
        <f>H7*5.1</f>
        <v>31.619999999999997</v>
      </c>
      <c r="Q8" s="85"/>
    </row>
    <row r="9" spans="1:17" ht="22.95" customHeight="1" x14ac:dyDescent="0.4">
      <c r="A9" s="134">
        <f t="shared" si="0"/>
        <v>4</v>
      </c>
      <c r="B9" s="147" t="s">
        <v>63</v>
      </c>
      <c r="C9" s="138" t="s">
        <v>241</v>
      </c>
      <c r="D9" s="148" t="s">
        <v>236</v>
      </c>
      <c r="E9" s="134" t="s">
        <v>146</v>
      </c>
      <c r="F9" s="146">
        <v>0</v>
      </c>
      <c r="G9" s="145"/>
      <c r="H9" s="91"/>
    </row>
    <row r="10" spans="1:17" ht="22.95" customHeight="1" x14ac:dyDescent="0.4">
      <c r="A10" s="134">
        <f t="shared" si="0"/>
        <v>5</v>
      </c>
      <c r="B10" s="147" t="s">
        <v>240</v>
      </c>
      <c r="C10" s="138" t="s">
        <v>239</v>
      </c>
      <c r="D10" s="148" t="s">
        <v>236</v>
      </c>
      <c r="E10" s="138" t="s">
        <v>238</v>
      </c>
      <c r="F10" s="149">
        <f>ROUND(F11+(F6-F7)*Свх!O34,1)</f>
        <v>37.200000000000003</v>
      </c>
      <c r="G10" s="145"/>
      <c r="H10" s="91"/>
    </row>
    <row r="11" spans="1:17" ht="23.25" customHeight="1" x14ac:dyDescent="0.4">
      <c r="A11" s="134">
        <f t="shared" si="0"/>
        <v>6</v>
      </c>
      <c r="B11" s="147" t="s">
        <v>64</v>
      </c>
      <c r="C11" s="138" t="s">
        <v>237</v>
      </c>
      <c r="D11" s="148" t="s">
        <v>236</v>
      </c>
      <c r="E11" s="134" t="s">
        <v>146</v>
      </c>
      <c r="F11" s="146">
        <v>5</v>
      </c>
      <c r="G11" s="145"/>
      <c r="H11" s="144"/>
    </row>
    <row r="12" spans="1:17" ht="23.25" customHeight="1" x14ac:dyDescent="0.4">
      <c r="A12" s="134">
        <f t="shared" si="0"/>
        <v>7</v>
      </c>
      <c r="B12" s="147" t="s">
        <v>235</v>
      </c>
      <c r="C12" s="138" t="s">
        <v>234</v>
      </c>
      <c r="D12" s="138" t="s">
        <v>99</v>
      </c>
      <c r="E12" s="134" t="s">
        <v>146</v>
      </c>
      <c r="F12" s="146">
        <v>0.3</v>
      </c>
      <c r="G12" s="145"/>
      <c r="H12" s="144"/>
    </row>
    <row r="13" spans="1:17" ht="23.25" customHeight="1" x14ac:dyDescent="0.4">
      <c r="A13" s="134">
        <f t="shared" si="0"/>
        <v>8</v>
      </c>
      <c r="B13" s="147" t="s">
        <v>233</v>
      </c>
      <c r="C13" s="138" t="s">
        <v>232</v>
      </c>
      <c r="D13" s="138" t="s">
        <v>99</v>
      </c>
      <c r="E13" s="134" t="s">
        <v>146</v>
      </c>
      <c r="F13" s="146">
        <f>1-F12</f>
        <v>0.7</v>
      </c>
      <c r="G13" s="145"/>
      <c r="H13" s="144"/>
    </row>
    <row r="14" spans="1:17" ht="21.6" customHeight="1" thickBot="1" x14ac:dyDescent="0.45">
      <c r="A14" s="134">
        <f t="shared" si="0"/>
        <v>9</v>
      </c>
      <c r="B14" s="143" t="s">
        <v>231</v>
      </c>
      <c r="C14" s="131" t="s">
        <v>230</v>
      </c>
      <c r="D14" s="131"/>
      <c r="E14" s="131"/>
      <c r="F14" s="131"/>
      <c r="G14" s="236" t="s">
        <v>312</v>
      </c>
      <c r="H14" s="237"/>
    </row>
    <row r="15" spans="1:17" ht="21.6" customHeight="1" x14ac:dyDescent="0.35">
      <c r="A15" s="134"/>
      <c r="B15" s="134"/>
      <c r="C15" s="139"/>
      <c r="D15" s="131" t="s">
        <v>229</v>
      </c>
      <c r="E15" s="131"/>
      <c r="F15" s="142">
        <f>ROUND('Расчет тепл мощности'!G9*0.000001,3)</f>
        <v>3.5270000000000001</v>
      </c>
      <c r="G15" s="141" t="s">
        <v>228</v>
      </c>
      <c r="H15" s="140" t="s">
        <v>227</v>
      </c>
    </row>
    <row r="16" spans="1:17" ht="21.6" customHeight="1" thickBot="1" x14ac:dyDescent="0.4">
      <c r="A16" s="134"/>
      <c r="B16" s="134"/>
      <c r="C16" s="139"/>
      <c r="D16" s="131" t="s">
        <v>226</v>
      </c>
      <c r="E16" s="138"/>
      <c r="F16" s="137">
        <f>ROUND(F15*1163,0)</f>
        <v>4102</v>
      </c>
      <c r="G16" s="136">
        <v>1500</v>
      </c>
      <c r="H16" s="135">
        <f>ROUND(G16/(1163*0.000001*(F10-F9)*Свхвыхкот!O23),0)</f>
        <v>94990</v>
      </c>
    </row>
    <row r="17" spans="1:8" ht="22.5" customHeight="1" x14ac:dyDescent="0.35">
      <c r="A17" s="134">
        <f>A14+1</f>
        <v>10</v>
      </c>
      <c r="B17" s="133" t="s">
        <v>225</v>
      </c>
      <c r="C17" s="55" t="s">
        <v>224</v>
      </c>
      <c r="D17" s="132" t="s">
        <v>223</v>
      </c>
      <c r="E17" s="131"/>
      <c r="F17" s="122">
        <f>'Расчет тепл мощности'!G14</f>
        <v>221.51685393258427</v>
      </c>
    </row>
    <row r="18" spans="1:8" ht="18" x14ac:dyDescent="0.35">
      <c r="A18" s="127"/>
      <c r="B18" s="130"/>
      <c r="C18" s="129"/>
      <c r="D18" s="128"/>
      <c r="E18" s="125"/>
    </row>
    <row r="19" spans="1:8" ht="20.399999999999999" x14ac:dyDescent="0.35">
      <c r="A19" s="127"/>
      <c r="B19" s="126"/>
      <c r="C19" s="125"/>
      <c r="D19" s="125"/>
      <c r="E19" s="72"/>
    </row>
    <row r="20" spans="1:8" ht="21.6" customHeight="1" x14ac:dyDescent="0.3">
      <c r="C20" s="124"/>
      <c r="D20" s="123" t="s">
        <v>222</v>
      </c>
      <c r="E20" s="123"/>
      <c r="H20" s="91"/>
    </row>
    <row r="21" spans="1:8" ht="18" customHeight="1" x14ac:dyDescent="0.3">
      <c r="A21" s="35"/>
      <c r="B21" s="35"/>
      <c r="C21" s="122"/>
      <c r="D21" s="235" t="s">
        <v>221</v>
      </c>
      <c r="E21" s="235"/>
      <c r="F21" s="35"/>
      <c r="H21" s="91"/>
    </row>
    <row r="22" spans="1:8" ht="20.25" customHeight="1" x14ac:dyDescent="0.25">
      <c r="B22" s="120"/>
      <c r="C22" s="120"/>
      <c r="D22" s="120"/>
      <c r="E22" s="120"/>
      <c r="F22" s="121"/>
    </row>
    <row r="23" spans="1:8" ht="27" customHeight="1" x14ac:dyDescent="0.25">
      <c r="B23" s="120"/>
      <c r="F23" s="31"/>
    </row>
    <row r="24" spans="1:8" ht="27" customHeight="1" x14ac:dyDescent="0.25">
      <c r="B24" s="116"/>
      <c r="F24" s="116"/>
    </row>
    <row r="25" spans="1:8" ht="27.75" customHeight="1" x14ac:dyDescent="0.25">
      <c r="B25" s="120"/>
      <c r="F25" s="31"/>
    </row>
    <row r="26" spans="1:8" ht="15.45" customHeight="1" x14ac:dyDescent="0.25">
      <c r="B26" s="120"/>
      <c r="C26" s="120"/>
      <c r="D26" s="120"/>
      <c r="E26" s="120"/>
      <c r="F26" s="31"/>
    </row>
    <row r="27" spans="1:8" x14ac:dyDescent="0.25">
      <c r="B27" s="117"/>
      <c r="C27" s="117"/>
      <c r="D27" s="117"/>
      <c r="E27" s="117"/>
      <c r="F27" s="117"/>
    </row>
    <row r="28" spans="1:8" ht="14.7" customHeight="1" x14ac:dyDescent="0.25">
      <c r="B28" s="120"/>
      <c r="C28" s="120"/>
      <c r="D28" s="120"/>
      <c r="E28" s="120"/>
      <c r="F28" s="31"/>
    </row>
    <row r="29" spans="1:8" ht="17.399999999999999" customHeight="1" x14ac:dyDescent="0.25">
      <c r="B29" s="119"/>
      <c r="C29" s="119"/>
      <c r="D29" s="119"/>
      <c r="E29" s="119"/>
      <c r="F29" s="119"/>
    </row>
    <row r="30" spans="1:8" x14ac:dyDescent="0.25">
      <c r="B30" s="118"/>
      <c r="C30" s="118"/>
      <c r="D30" s="118"/>
      <c r="E30" s="118"/>
      <c r="F30" s="31"/>
    </row>
    <row r="31" spans="1:8" ht="20.100000000000001" customHeight="1" x14ac:dyDescent="0.25">
      <c r="B31" s="117"/>
      <c r="C31" s="117"/>
      <c r="D31" s="117"/>
      <c r="E31" s="117"/>
      <c r="F31" s="117"/>
    </row>
    <row r="32" spans="1:8" x14ac:dyDescent="0.25">
      <c r="B32" s="116"/>
      <c r="C32" s="116"/>
      <c r="D32" s="116"/>
      <c r="E32" s="116"/>
      <c r="F32" s="116"/>
    </row>
    <row r="33" spans="2:6" ht="15.6" x14ac:dyDescent="0.25">
      <c r="B33" s="115"/>
      <c r="C33" s="115"/>
      <c r="D33" s="115"/>
      <c r="E33" s="115"/>
      <c r="F33" s="115"/>
    </row>
    <row r="34" spans="2:6" x14ac:dyDescent="0.25">
      <c r="B34" s="59"/>
      <c r="C34" s="59"/>
      <c r="D34" s="59"/>
      <c r="E34" s="59"/>
      <c r="F34" s="114"/>
    </row>
    <row r="36" spans="2:6" ht="18.75" customHeight="1" x14ac:dyDescent="0.25"/>
  </sheetData>
  <mergeCells count="4">
    <mergeCell ref="A4:A5"/>
    <mergeCell ref="B4:F4"/>
    <mergeCell ref="D21:E21"/>
    <mergeCell ref="G14:H14"/>
  </mergeCells>
  <dataValidations count="1">
    <dataValidation operator="equal" allowBlank="1" showErrorMessage="1" prompt="Не жми сюдыть!!!!!!!" sqref="F8" xr:uid="{00000000-0002-0000-0400-000000000000}">
      <formula1>0</formula1>
      <formula2>0</formula2>
    </dataValidation>
  </dataValidations>
  <pageMargins left="0.74791666666666701" right="0.74791666666666701" top="0.98402777777777795" bottom="0.98402777777777795" header="0.51180555555555496" footer="0.51180555555555496"/>
  <pageSetup paperSize="9" scale="40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X77"/>
  <sheetViews>
    <sheetView tabSelected="1" topLeftCell="A25" zoomScale="55" zoomScaleNormal="55" workbookViewId="0">
      <selection activeCell="O34" sqref="O34"/>
    </sheetView>
  </sheetViews>
  <sheetFormatPr defaultColWidth="9.109375" defaultRowHeight="13.2" x14ac:dyDescent="0.25"/>
  <cols>
    <col min="1" max="1" width="9.44140625" style="13" customWidth="1"/>
    <col min="2" max="2" width="24.44140625" style="13" customWidth="1"/>
    <col min="3" max="3" width="15.77734375" style="13" customWidth="1"/>
    <col min="4" max="4" width="25.6640625" style="13" customWidth="1"/>
    <col min="5" max="5" width="8.44140625" style="13" customWidth="1"/>
    <col min="6" max="6" width="18.5546875" style="13" customWidth="1"/>
    <col min="7" max="10" width="9.109375" style="13"/>
    <col min="11" max="11" width="24" style="13" customWidth="1"/>
    <col min="12" max="12" width="25" style="13" customWidth="1"/>
    <col min="13" max="14" width="9.109375" style="13"/>
    <col min="15" max="15" width="9.109375" style="13" customWidth="1"/>
    <col min="16" max="25" width="9.109375" style="13"/>
    <col min="26" max="26" width="11.88671875" style="13" customWidth="1"/>
    <col min="27" max="16384" width="9.109375" style="13"/>
  </cols>
  <sheetData>
    <row r="1" spans="1:15" ht="29.4" customHeight="1" x14ac:dyDescent="0.35">
      <c r="B1" s="238" t="s">
        <v>160</v>
      </c>
      <c r="C1" s="238"/>
      <c r="D1" s="238"/>
      <c r="E1" s="238"/>
      <c r="F1" s="238"/>
      <c r="K1" s="238" t="s">
        <v>160</v>
      </c>
      <c r="L1" s="238"/>
      <c r="M1" s="238"/>
      <c r="N1" s="238"/>
      <c r="O1" s="238"/>
    </row>
    <row r="2" spans="1:15" ht="51" customHeight="1" x14ac:dyDescent="0.25">
      <c r="A2" s="239" t="s">
        <v>159</v>
      </c>
      <c r="B2" s="239"/>
      <c r="C2" s="71" t="s">
        <v>158</v>
      </c>
      <c r="D2" s="71" t="s">
        <v>157</v>
      </c>
      <c r="E2" s="53" t="s">
        <v>2</v>
      </c>
      <c r="F2" s="67" t="s">
        <v>156</v>
      </c>
      <c r="G2" s="241"/>
      <c r="H2" s="241"/>
      <c r="I2" s="241"/>
      <c r="J2" s="239" t="s">
        <v>159</v>
      </c>
      <c r="K2" s="239"/>
      <c r="L2" s="71" t="s">
        <v>158</v>
      </c>
      <c r="M2" s="71" t="s">
        <v>157</v>
      </c>
      <c r="N2" s="53" t="s">
        <v>2</v>
      </c>
      <c r="O2" s="67" t="s">
        <v>156</v>
      </c>
    </row>
    <row r="3" spans="1:15" ht="51" customHeight="1" x14ac:dyDescent="0.25">
      <c r="A3" s="240"/>
      <c r="B3" s="240"/>
      <c r="C3" s="240"/>
      <c r="D3" s="240"/>
      <c r="E3" s="240"/>
      <c r="F3" s="240"/>
      <c r="G3" s="242"/>
      <c r="H3" s="242"/>
      <c r="I3" s="242"/>
      <c r="J3" s="240"/>
      <c r="K3" s="240"/>
      <c r="L3" s="240"/>
      <c r="M3" s="240"/>
      <c r="N3" s="240"/>
      <c r="O3" s="240"/>
    </row>
    <row r="4" spans="1:15" ht="33.6" customHeight="1" x14ac:dyDescent="0.3">
      <c r="A4" s="43">
        <v>1</v>
      </c>
      <c r="B4" s="42" t="s">
        <v>155</v>
      </c>
      <c r="C4" s="41" t="s">
        <v>154</v>
      </c>
      <c r="D4" s="41" t="s">
        <v>153</v>
      </c>
      <c r="E4" s="53" t="s">
        <v>146</v>
      </c>
      <c r="F4" s="68">
        <f>'Промежуточный расчет'!F11</f>
        <v>1.2</v>
      </c>
      <c r="G4" s="64"/>
      <c r="H4" s="31"/>
      <c r="I4" s="63"/>
      <c r="J4" s="43">
        <v>1</v>
      </c>
      <c r="K4" s="42" t="s">
        <v>155</v>
      </c>
      <c r="L4" s="41" t="s">
        <v>154</v>
      </c>
      <c r="M4" s="41" t="s">
        <v>153</v>
      </c>
      <c r="N4" s="53" t="s">
        <v>146</v>
      </c>
      <c r="O4" s="68">
        <f>'Тепл баланс'!F6</f>
        <v>7.4</v>
      </c>
    </row>
    <row r="5" spans="1:15" ht="31.2" x14ac:dyDescent="0.3">
      <c r="A5" s="43">
        <f t="shared" ref="A5:A37" si="0">A4+1</f>
        <v>2</v>
      </c>
      <c r="B5" s="70" t="s">
        <v>63</v>
      </c>
      <c r="C5" s="41" t="s">
        <v>152</v>
      </c>
      <c r="D5" s="69" t="s">
        <v>151</v>
      </c>
      <c r="E5" s="53" t="s">
        <v>146</v>
      </c>
      <c r="F5" s="68">
        <f>'Промежуточный расчет'!F12</f>
        <v>5</v>
      </c>
      <c r="G5" s="64"/>
      <c r="H5" s="31"/>
      <c r="I5" s="63"/>
      <c r="J5" s="43">
        <f t="shared" ref="J5:J37" si="1">J4+1</f>
        <v>2</v>
      </c>
      <c r="K5" s="70" t="s">
        <v>324</v>
      </c>
      <c r="L5" s="41" t="s">
        <v>152</v>
      </c>
      <c r="M5" s="69" t="s">
        <v>151</v>
      </c>
      <c r="N5" s="53" t="s">
        <v>146</v>
      </c>
      <c r="O5" s="68">
        <f>'Тепл баланс'!F11</f>
        <v>5</v>
      </c>
    </row>
    <row r="6" spans="1:15" ht="46.8" x14ac:dyDescent="0.3">
      <c r="A6" s="43">
        <f t="shared" si="0"/>
        <v>3</v>
      </c>
      <c r="B6" s="66" t="s">
        <v>150</v>
      </c>
      <c r="C6" s="41" t="s">
        <v>149</v>
      </c>
      <c r="D6" s="41" t="s">
        <v>99</v>
      </c>
      <c r="E6" s="67" t="s">
        <v>146</v>
      </c>
      <c r="F6" s="53"/>
      <c r="G6" s="64"/>
      <c r="H6" s="31"/>
      <c r="I6" s="63"/>
      <c r="J6" s="43">
        <f t="shared" si="1"/>
        <v>3</v>
      </c>
      <c r="K6" s="66" t="s">
        <v>150</v>
      </c>
      <c r="L6" s="41" t="s">
        <v>149</v>
      </c>
      <c r="M6" s="41" t="s">
        <v>99</v>
      </c>
      <c r="N6" s="67" t="s">
        <v>146</v>
      </c>
      <c r="O6" s="53"/>
    </row>
    <row r="7" spans="1:15" ht="46.8" x14ac:dyDescent="0.3">
      <c r="A7" s="43">
        <f t="shared" si="0"/>
        <v>4</v>
      </c>
      <c r="B7" s="66" t="s">
        <v>148</v>
      </c>
      <c r="C7" s="41" t="s">
        <v>147</v>
      </c>
      <c r="D7" s="41" t="s">
        <v>141</v>
      </c>
      <c r="E7" s="67" t="s">
        <v>146</v>
      </c>
      <c r="F7" s="53"/>
      <c r="G7" s="64"/>
      <c r="H7" s="31"/>
      <c r="I7" s="63"/>
      <c r="J7" s="43">
        <f t="shared" si="1"/>
        <v>4</v>
      </c>
      <c r="K7" s="66" t="s">
        <v>148</v>
      </c>
      <c r="L7" s="41" t="s">
        <v>147</v>
      </c>
      <c r="M7" s="41" t="s">
        <v>141</v>
      </c>
      <c r="N7" s="67" t="s">
        <v>146</v>
      </c>
      <c r="O7" s="53"/>
    </row>
    <row r="8" spans="1:15" ht="53.25" customHeight="1" x14ac:dyDescent="0.3">
      <c r="A8" s="43">
        <f t="shared" si="0"/>
        <v>5</v>
      </c>
      <c r="B8" s="66" t="s">
        <v>145</v>
      </c>
      <c r="C8" s="41" t="s">
        <v>144</v>
      </c>
      <c r="D8" s="41" t="s">
        <v>141</v>
      </c>
      <c r="F8" s="62">
        <f>U77</f>
        <v>0.74644025039100015</v>
      </c>
      <c r="G8" s="64"/>
      <c r="H8" s="31"/>
      <c r="I8" s="63"/>
      <c r="J8" s="43">
        <f t="shared" si="1"/>
        <v>5</v>
      </c>
      <c r="K8" s="66" t="s">
        <v>145</v>
      </c>
      <c r="L8" s="41" t="s">
        <v>144</v>
      </c>
      <c r="M8" s="41" t="s">
        <v>141</v>
      </c>
      <c r="O8" s="62">
        <f>U77</f>
        <v>0.74644025039100015</v>
      </c>
    </row>
    <row r="9" spans="1:15" ht="31.2" x14ac:dyDescent="0.3">
      <c r="A9" s="43">
        <f t="shared" si="0"/>
        <v>6</v>
      </c>
      <c r="B9" s="66" t="s">
        <v>143</v>
      </c>
      <c r="C9" s="41" t="s">
        <v>142</v>
      </c>
      <c r="D9" s="41" t="s">
        <v>141</v>
      </c>
      <c r="E9" s="50" t="s">
        <v>140</v>
      </c>
      <c r="F9" s="53">
        <f>ROUND(F8*(F4+0.101325)/0.1*(293.15/(273.15+F5))*1/F37,2)</f>
        <v>10.71</v>
      </c>
      <c r="G9" s="64"/>
      <c r="H9" s="31"/>
      <c r="I9" s="63"/>
      <c r="J9" s="43">
        <f t="shared" si="1"/>
        <v>6</v>
      </c>
      <c r="K9" s="66" t="s">
        <v>143</v>
      </c>
      <c r="L9" s="41" t="s">
        <v>142</v>
      </c>
      <c r="M9" s="41" t="s">
        <v>141</v>
      </c>
      <c r="N9" s="50" t="s">
        <v>140</v>
      </c>
      <c r="O9" s="53">
        <f>ROUND(O8*(O4+0.101325)/0.1*(293.15/(273.15+O5))*1/O37,2)</f>
        <v>74.42</v>
      </c>
    </row>
    <row r="10" spans="1:15" ht="26.4" customHeight="1" x14ac:dyDescent="0.35">
      <c r="A10" s="43">
        <f t="shared" si="0"/>
        <v>7</v>
      </c>
      <c r="B10" s="66"/>
      <c r="C10" s="41"/>
      <c r="D10" s="41"/>
      <c r="E10" s="51"/>
      <c r="F10" s="53"/>
      <c r="G10" s="64"/>
      <c r="H10" s="31"/>
      <c r="I10" s="63"/>
      <c r="J10" s="43">
        <f t="shared" si="1"/>
        <v>7</v>
      </c>
      <c r="K10" s="66"/>
      <c r="L10" s="41"/>
      <c r="M10" s="41"/>
      <c r="N10" s="51"/>
      <c r="O10" s="53"/>
    </row>
    <row r="11" spans="1:15" ht="37.200000000000003" customHeight="1" x14ac:dyDescent="0.3">
      <c r="A11" s="43">
        <f t="shared" si="0"/>
        <v>8</v>
      </c>
      <c r="B11" s="42"/>
      <c r="C11" s="41"/>
      <c r="D11" s="41"/>
      <c r="E11" s="65"/>
      <c r="F11" s="53"/>
      <c r="G11" s="64"/>
      <c r="H11" s="31"/>
      <c r="I11" s="63"/>
      <c r="J11" s="43">
        <f t="shared" si="1"/>
        <v>8</v>
      </c>
      <c r="K11" s="42"/>
      <c r="L11" s="41"/>
      <c r="M11" s="41"/>
      <c r="N11" s="65"/>
      <c r="O11" s="53"/>
    </row>
    <row r="12" spans="1:15" ht="45" customHeight="1" x14ac:dyDescent="0.3">
      <c r="A12" s="43">
        <f t="shared" si="0"/>
        <v>9</v>
      </c>
      <c r="B12" s="42" t="s">
        <v>139</v>
      </c>
      <c r="C12" s="41" t="s">
        <v>82</v>
      </c>
      <c r="D12" s="50" t="s">
        <v>138</v>
      </c>
      <c r="E12" s="61"/>
      <c r="F12" s="62">
        <f>Q77</f>
        <v>17.876479258460002</v>
      </c>
      <c r="G12" s="56"/>
      <c r="H12" s="31"/>
      <c r="I12" s="63"/>
      <c r="J12" s="43">
        <f t="shared" si="1"/>
        <v>9</v>
      </c>
      <c r="K12" s="42" t="s">
        <v>139</v>
      </c>
      <c r="L12" s="41" t="s">
        <v>82</v>
      </c>
      <c r="M12" s="50" t="s">
        <v>138</v>
      </c>
      <c r="N12" s="61"/>
      <c r="O12" s="62">
        <f>Q77</f>
        <v>17.876479258460002</v>
      </c>
    </row>
    <row r="13" spans="1:15" ht="51" customHeight="1" x14ac:dyDescent="0.3">
      <c r="A13" s="43">
        <f t="shared" si="0"/>
        <v>10</v>
      </c>
      <c r="B13" s="42" t="s">
        <v>103</v>
      </c>
      <c r="C13" s="41" t="s">
        <v>137</v>
      </c>
      <c r="D13" s="50" t="s">
        <v>99</v>
      </c>
      <c r="E13" s="61"/>
      <c r="F13" s="53">
        <f>ROUND(8.3143/F12,3)</f>
        <v>0.46500000000000002</v>
      </c>
      <c r="G13" s="64"/>
      <c r="H13" s="31"/>
      <c r="I13" s="63"/>
      <c r="J13" s="43">
        <f t="shared" si="1"/>
        <v>10</v>
      </c>
      <c r="K13" s="42" t="s">
        <v>103</v>
      </c>
      <c r="L13" s="41" t="s">
        <v>137</v>
      </c>
      <c r="M13" s="50" t="s">
        <v>99</v>
      </c>
      <c r="N13" s="61"/>
      <c r="O13" s="53">
        <f>ROUND(8.3143/O12,3)</f>
        <v>0.46500000000000002</v>
      </c>
    </row>
    <row r="14" spans="1:15" ht="51" customHeight="1" x14ac:dyDescent="0.3">
      <c r="A14" s="43">
        <f t="shared" si="0"/>
        <v>11</v>
      </c>
      <c r="B14" s="42" t="s">
        <v>136</v>
      </c>
      <c r="C14" s="41" t="s">
        <v>135</v>
      </c>
      <c r="D14" s="50" t="s">
        <v>99</v>
      </c>
      <c r="E14" s="61"/>
      <c r="F14" s="62">
        <f>O77</f>
        <v>4.6125251138800003</v>
      </c>
      <c r="G14" s="64"/>
      <c r="H14" s="31"/>
      <c r="I14" s="63"/>
      <c r="J14" s="43">
        <f t="shared" si="1"/>
        <v>11</v>
      </c>
      <c r="K14" s="42" t="s">
        <v>136</v>
      </c>
      <c r="L14" s="41" t="s">
        <v>135</v>
      </c>
      <c r="M14" s="50" t="s">
        <v>99</v>
      </c>
      <c r="N14" s="61"/>
      <c r="O14" s="62">
        <f>O77</f>
        <v>4.6125251138800003</v>
      </c>
    </row>
    <row r="15" spans="1:15" ht="52.5" customHeight="1" x14ac:dyDescent="0.25">
      <c r="A15" s="43">
        <f t="shared" si="0"/>
        <v>12</v>
      </c>
      <c r="B15" s="42" t="s">
        <v>134</v>
      </c>
      <c r="C15" s="41" t="s">
        <v>133</v>
      </c>
      <c r="D15" s="50" t="s">
        <v>99</v>
      </c>
      <c r="E15" s="61"/>
      <c r="F15" s="60">
        <f>M77</f>
        <v>201.96675514020004</v>
      </c>
      <c r="G15" s="59"/>
      <c r="H15" s="59"/>
      <c r="I15" s="31"/>
      <c r="J15" s="43">
        <f t="shared" si="1"/>
        <v>12</v>
      </c>
      <c r="K15" s="42" t="s">
        <v>134</v>
      </c>
      <c r="L15" s="41" t="s">
        <v>133</v>
      </c>
      <c r="M15" s="50" t="s">
        <v>99</v>
      </c>
      <c r="N15" s="61"/>
      <c r="O15" s="60">
        <f>M77</f>
        <v>201.96675514020004</v>
      </c>
    </row>
    <row r="16" spans="1:15" ht="48" customHeight="1" x14ac:dyDescent="0.25">
      <c r="A16" s="43">
        <f t="shared" si="0"/>
        <v>13</v>
      </c>
      <c r="B16" s="42" t="s">
        <v>103</v>
      </c>
      <c r="C16" s="41" t="s">
        <v>132</v>
      </c>
      <c r="D16" s="50" t="s">
        <v>99</v>
      </c>
      <c r="E16" s="39"/>
      <c r="F16" s="58">
        <f>ROUND((F4+0.101325)/F14,2)</f>
        <v>0.28000000000000003</v>
      </c>
      <c r="G16" s="59"/>
      <c r="H16" s="59"/>
      <c r="I16" s="31"/>
      <c r="J16" s="43">
        <f t="shared" si="1"/>
        <v>13</v>
      </c>
      <c r="K16" s="42" t="s">
        <v>103</v>
      </c>
      <c r="L16" s="41" t="s">
        <v>132</v>
      </c>
      <c r="M16" s="50" t="s">
        <v>99</v>
      </c>
      <c r="N16" s="39"/>
      <c r="O16" s="58">
        <f>ROUND((O4+0.101325)/O14,2)</f>
        <v>1.63</v>
      </c>
    </row>
    <row r="17" spans="1:15" ht="45" customHeight="1" x14ac:dyDescent="0.25">
      <c r="A17" s="43">
        <f t="shared" si="0"/>
        <v>14</v>
      </c>
      <c r="B17" s="42" t="s">
        <v>103</v>
      </c>
      <c r="C17" s="41" t="s">
        <v>131</v>
      </c>
      <c r="D17" s="50" t="s">
        <v>99</v>
      </c>
      <c r="E17" s="39"/>
      <c r="F17" s="45">
        <f>ROUND((273.15+F5)/F15,2)</f>
        <v>1.38</v>
      </c>
      <c r="G17" s="57"/>
      <c r="H17" s="56"/>
      <c r="I17" s="56"/>
      <c r="J17" s="43">
        <f t="shared" si="1"/>
        <v>14</v>
      </c>
      <c r="K17" s="42" t="s">
        <v>103</v>
      </c>
      <c r="L17" s="41" t="s">
        <v>131</v>
      </c>
      <c r="M17" s="50" t="s">
        <v>99</v>
      </c>
      <c r="N17" s="39"/>
      <c r="O17" s="45">
        <f>ROUND((273.15+O5)/O15,2)</f>
        <v>1.38</v>
      </c>
    </row>
    <row r="18" spans="1:15" ht="51" customHeight="1" x14ac:dyDescent="0.25">
      <c r="A18" s="43">
        <f t="shared" si="0"/>
        <v>15</v>
      </c>
      <c r="B18" s="42" t="s">
        <v>103</v>
      </c>
      <c r="C18" s="41" t="s">
        <v>130</v>
      </c>
      <c r="D18" s="50" t="s">
        <v>99</v>
      </c>
      <c r="E18" s="39"/>
      <c r="F18" s="45">
        <f>4.437-1.015*F17+0.591*F17^2</f>
        <v>4.1618004000000006</v>
      </c>
      <c r="G18" s="37"/>
      <c r="H18" s="37"/>
      <c r="I18" s="37"/>
      <c r="J18" s="43">
        <f t="shared" si="1"/>
        <v>15</v>
      </c>
      <c r="K18" s="42" t="s">
        <v>103</v>
      </c>
      <c r="L18" s="41" t="s">
        <v>130</v>
      </c>
      <c r="M18" s="50" t="s">
        <v>99</v>
      </c>
      <c r="N18" s="39"/>
      <c r="O18" s="45">
        <f>4.437-1.015*O17+0.591*O17^2</f>
        <v>4.1618004000000006</v>
      </c>
    </row>
    <row r="19" spans="1:15" ht="45" customHeight="1" x14ac:dyDescent="0.25">
      <c r="A19" s="43">
        <f t="shared" si="0"/>
        <v>16</v>
      </c>
      <c r="B19" s="42" t="s">
        <v>103</v>
      </c>
      <c r="C19" s="41" t="s">
        <v>129</v>
      </c>
      <c r="D19" s="46" t="s">
        <v>99</v>
      </c>
      <c r="E19" s="39"/>
      <c r="F19" s="45">
        <f>3.29-11.37/F17+10.9/F17^2</f>
        <v>0.77445704683889982</v>
      </c>
      <c r="G19" s="37"/>
      <c r="H19" s="37"/>
      <c r="I19" s="37"/>
      <c r="J19" s="43">
        <f t="shared" si="1"/>
        <v>16</v>
      </c>
      <c r="K19" s="42" t="s">
        <v>103</v>
      </c>
      <c r="L19" s="41" t="s">
        <v>129</v>
      </c>
      <c r="M19" s="46" t="s">
        <v>99</v>
      </c>
      <c r="N19" s="39"/>
      <c r="O19" s="45">
        <f>3.29-11.37/O17+10.9/O17^2</f>
        <v>0.77445704683889982</v>
      </c>
    </row>
    <row r="20" spans="1:15" ht="54.75" customHeight="1" x14ac:dyDescent="0.25">
      <c r="A20" s="43">
        <f t="shared" si="0"/>
        <v>17</v>
      </c>
      <c r="B20" s="42" t="s">
        <v>103</v>
      </c>
      <c r="C20" s="41" t="s">
        <v>128</v>
      </c>
      <c r="D20" s="46" t="s">
        <v>99</v>
      </c>
      <c r="E20" s="39"/>
      <c r="F20" s="45">
        <f>3.23-16.27/(F17)+25.48/(F17^2)-11.81/(F17^3)</f>
        <v>0.32589843809454422</v>
      </c>
      <c r="G20" s="37"/>
      <c r="H20" s="37"/>
      <c r="I20" s="37"/>
      <c r="J20" s="43">
        <f t="shared" si="1"/>
        <v>17</v>
      </c>
      <c r="K20" s="42" t="s">
        <v>103</v>
      </c>
      <c r="L20" s="41" t="s">
        <v>128</v>
      </c>
      <c r="M20" s="46" t="s">
        <v>99</v>
      </c>
      <c r="N20" s="39"/>
      <c r="O20" s="45">
        <f>3.23-16.27/(O17)+25.48/(O17^2)-11.81/(O17^3)</f>
        <v>0.32589843809454422</v>
      </c>
    </row>
    <row r="21" spans="1:15" ht="55.5" customHeight="1" x14ac:dyDescent="0.25">
      <c r="A21" s="43">
        <f t="shared" si="0"/>
        <v>18</v>
      </c>
      <c r="B21" s="42" t="s">
        <v>103</v>
      </c>
      <c r="C21" s="41" t="s">
        <v>127</v>
      </c>
      <c r="D21" s="46" t="s">
        <v>99</v>
      </c>
      <c r="E21" s="39"/>
      <c r="F21" s="45">
        <f>-0.214+0.908/F17-0.967/(F17^2)</f>
        <v>-6.380046208779655E-2</v>
      </c>
      <c r="G21" s="35"/>
      <c r="H21" s="35"/>
      <c r="I21" s="35"/>
      <c r="J21" s="43">
        <f t="shared" si="1"/>
        <v>18</v>
      </c>
      <c r="K21" s="42" t="s">
        <v>103</v>
      </c>
      <c r="L21" s="41" t="s">
        <v>127</v>
      </c>
      <c r="M21" s="46" t="s">
        <v>99</v>
      </c>
      <c r="N21" s="39"/>
      <c r="O21" s="45">
        <f>-0.214+0.908/O17-0.967/(O17^2)</f>
        <v>-6.380046208779655E-2</v>
      </c>
    </row>
    <row r="22" spans="1:15" ht="45" customHeight="1" x14ac:dyDescent="0.25">
      <c r="A22" s="43">
        <f t="shared" si="0"/>
        <v>19</v>
      </c>
      <c r="B22" s="42" t="s">
        <v>125</v>
      </c>
      <c r="C22" s="41" t="s">
        <v>124</v>
      </c>
      <c r="D22" s="55" t="s">
        <v>126</v>
      </c>
      <c r="F22" s="53">
        <f>ROUND(F13*(F18+F19*F16+F20*F16^2+F21*F16^3),2)</f>
        <v>2.0499999999999998</v>
      </c>
      <c r="G22" s="37"/>
      <c r="H22" s="37"/>
      <c r="I22" s="37"/>
      <c r="J22" s="43">
        <f t="shared" si="1"/>
        <v>19</v>
      </c>
      <c r="K22" s="42" t="s">
        <v>125</v>
      </c>
      <c r="L22" s="41" t="s">
        <v>124</v>
      </c>
      <c r="M22" s="55" t="s">
        <v>126</v>
      </c>
      <c r="O22" s="53">
        <f>ROUND(O13*(O18+O19*O16+O20*O16^2+O21*O16^3),2)</f>
        <v>2.8</v>
      </c>
    </row>
    <row r="23" spans="1:15" ht="38.4" customHeight="1" x14ac:dyDescent="0.25">
      <c r="A23" s="43">
        <f t="shared" si="0"/>
        <v>20</v>
      </c>
      <c r="B23" s="42" t="s">
        <v>125</v>
      </c>
      <c r="C23" s="41" t="s">
        <v>124</v>
      </c>
      <c r="D23" s="55" t="s">
        <v>123</v>
      </c>
      <c r="E23" s="54" t="s">
        <v>99</v>
      </c>
      <c r="F23" s="53">
        <f>ROUND(F22/4.19*F8,3)</f>
        <v>0.36499999999999999</v>
      </c>
      <c r="G23" s="37"/>
      <c r="H23" s="37"/>
      <c r="I23" s="37"/>
      <c r="J23" s="43">
        <f t="shared" si="1"/>
        <v>20</v>
      </c>
      <c r="K23" s="42" t="s">
        <v>125</v>
      </c>
      <c r="L23" s="41" t="s">
        <v>124</v>
      </c>
      <c r="M23" s="55" t="s">
        <v>123</v>
      </c>
      <c r="N23" s="54" t="s">
        <v>99</v>
      </c>
      <c r="O23" s="53">
        <f>ROUND(O22/4.19*O8,3)</f>
        <v>0.499</v>
      </c>
    </row>
    <row r="24" spans="1:15" ht="44.4" customHeight="1" x14ac:dyDescent="0.35">
      <c r="A24" s="43">
        <f t="shared" si="0"/>
        <v>21</v>
      </c>
      <c r="B24" s="42" t="s">
        <v>103</v>
      </c>
      <c r="C24" s="41" t="s">
        <v>122</v>
      </c>
      <c r="D24" s="51" t="s">
        <v>116</v>
      </c>
      <c r="E24" s="39"/>
      <c r="F24" s="45">
        <f>H23</f>
        <v>0</v>
      </c>
      <c r="G24" s="52"/>
      <c r="H24" s="52"/>
      <c r="I24" s="52"/>
      <c r="J24" s="43">
        <f t="shared" si="1"/>
        <v>21</v>
      </c>
      <c r="K24" s="42" t="s">
        <v>103</v>
      </c>
      <c r="L24" s="41" t="s">
        <v>122</v>
      </c>
      <c r="M24" s="51" t="s">
        <v>116</v>
      </c>
      <c r="N24" s="39"/>
      <c r="O24" s="45">
        <f>(1.81+5.95*O17)*10^(-6)</f>
        <v>1.0021000000000001E-5</v>
      </c>
    </row>
    <row r="25" spans="1:15" ht="51" customHeight="1" x14ac:dyDescent="0.25">
      <c r="A25" s="43">
        <f t="shared" si="0"/>
        <v>22</v>
      </c>
      <c r="B25" s="42" t="s">
        <v>103</v>
      </c>
      <c r="C25" s="41" t="s">
        <v>121</v>
      </c>
      <c r="D25" s="46" t="s">
        <v>99</v>
      </c>
      <c r="E25" s="39"/>
      <c r="F25" s="45">
        <f>-0.67+2.36/F17-1.93/F17^2</f>
        <v>2.6702373450955719E-2</v>
      </c>
      <c r="G25" s="37"/>
      <c r="H25" s="37"/>
      <c r="I25" s="37"/>
      <c r="J25" s="43">
        <f t="shared" si="1"/>
        <v>22</v>
      </c>
      <c r="K25" s="42" t="s">
        <v>103</v>
      </c>
      <c r="L25" s="41" t="s">
        <v>121</v>
      </c>
      <c r="M25" s="46" t="s">
        <v>99</v>
      </c>
      <c r="N25" s="39"/>
      <c r="O25" s="45">
        <f>-0.67+2.36/O17-1.93/O17^2</f>
        <v>2.6702373450955719E-2</v>
      </c>
    </row>
    <row r="26" spans="1:15" ht="50.25" customHeight="1" x14ac:dyDescent="0.25">
      <c r="A26" s="43">
        <f t="shared" si="0"/>
        <v>23</v>
      </c>
      <c r="B26" s="42" t="s">
        <v>103</v>
      </c>
      <c r="C26" s="41" t="s">
        <v>120</v>
      </c>
      <c r="D26" s="46" t="s">
        <v>99</v>
      </c>
      <c r="E26" s="39"/>
      <c r="F26" s="45">
        <f>0.8-2.89/F17+2.65/F17^2</f>
        <v>9.7311489182944522E-2</v>
      </c>
      <c r="G26" s="37"/>
      <c r="H26" s="37"/>
      <c r="I26" s="37"/>
      <c r="J26" s="43">
        <f t="shared" si="1"/>
        <v>23</v>
      </c>
      <c r="K26" s="42" t="s">
        <v>103</v>
      </c>
      <c r="L26" s="41" t="s">
        <v>120</v>
      </c>
      <c r="M26" s="46" t="s">
        <v>99</v>
      </c>
      <c r="N26" s="39"/>
      <c r="O26" s="45">
        <f>0.8-2.89/O17+2.65/O17^2</f>
        <v>9.7311489182944522E-2</v>
      </c>
    </row>
    <row r="27" spans="1:15" ht="47.25" customHeight="1" x14ac:dyDescent="0.25">
      <c r="A27" s="43">
        <f t="shared" si="0"/>
        <v>24</v>
      </c>
      <c r="B27" s="42" t="s">
        <v>103</v>
      </c>
      <c r="C27" s="41" t="s">
        <v>119</v>
      </c>
      <c r="D27" s="46" t="s">
        <v>99</v>
      </c>
      <c r="E27" s="39"/>
      <c r="F27" s="45">
        <f>-0.1+0.354/F17-0.314/F17^2</f>
        <v>-8.3595883217811584E-3</v>
      </c>
      <c r="G27" s="37"/>
      <c r="H27" s="37"/>
      <c r="I27" s="37"/>
      <c r="J27" s="43">
        <f t="shared" si="1"/>
        <v>24</v>
      </c>
      <c r="K27" s="42" t="s">
        <v>103</v>
      </c>
      <c r="L27" s="41" t="s">
        <v>119</v>
      </c>
      <c r="M27" s="46" t="s">
        <v>99</v>
      </c>
      <c r="N27" s="39"/>
      <c r="O27" s="45">
        <f>-0.1+0.354/O17-0.314/O17^2</f>
        <v>-8.3595883217811584E-3</v>
      </c>
    </row>
    <row r="28" spans="1:15" ht="41.4" customHeight="1" x14ac:dyDescent="0.25">
      <c r="A28" s="43">
        <f t="shared" si="0"/>
        <v>25</v>
      </c>
      <c r="B28" s="42" t="s">
        <v>118</v>
      </c>
      <c r="C28" s="41" t="s">
        <v>117</v>
      </c>
      <c r="D28" s="50" t="s">
        <v>116</v>
      </c>
      <c r="E28" s="49"/>
      <c r="F28" s="45">
        <f>F24*(1+F25*F16+F26*F16^2+F27*F16^3)</f>
        <v>0</v>
      </c>
      <c r="G28" s="37"/>
      <c r="H28" s="37"/>
      <c r="I28" s="37"/>
      <c r="J28" s="43">
        <f t="shared" si="1"/>
        <v>25</v>
      </c>
      <c r="K28" s="42" t="s">
        <v>118</v>
      </c>
      <c r="L28" s="41" t="s">
        <v>117</v>
      </c>
      <c r="M28" s="50" t="s">
        <v>116</v>
      </c>
      <c r="N28" s="49"/>
      <c r="O28" s="45">
        <f>O24*(1+O25*O16+O26*O16^2+O27*O16^3)</f>
        <v>1.2685268261442423E-5</v>
      </c>
    </row>
    <row r="29" spans="1:15" ht="31.35" customHeight="1" x14ac:dyDescent="0.25">
      <c r="A29" s="43">
        <f t="shared" si="0"/>
        <v>26</v>
      </c>
      <c r="B29" s="42" t="s">
        <v>115</v>
      </c>
      <c r="C29" s="41" t="s">
        <v>114</v>
      </c>
      <c r="D29" s="46" t="s">
        <v>113</v>
      </c>
      <c r="E29" s="48" t="s">
        <v>112</v>
      </c>
      <c r="F29" s="45">
        <f>F28/F9</f>
        <v>0</v>
      </c>
      <c r="G29" s="37"/>
      <c r="H29" s="37"/>
      <c r="I29" s="37"/>
      <c r="J29" s="43">
        <f t="shared" si="1"/>
        <v>26</v>
      </c>
      <c r="K29" s="42" t="s">
        <v>115</v>
      </c>
      <c r="L29" s="41" t="s">
        <v>114</v>
      </c>
      <c r="M29" s="46" t="s">
        <v>113</v>
      </c>
      <c r="N29" s="48" t="s">
        <v>112</v>
      </c>
      <c r="O29" s="45">
        <f>O28/O9</f>
        <v>1.7045509623007824E-7</v>
      </c>
    </row>
    <row r="30" spans="1:15" ht="31.95" customHeight="1" x14ac:dyDescent="0.25">
      <c r="A30" s="43">
        <f t="shared" si="0"/>
        <v>27</v>
      </c>
      <c r="B30" s="42" t="s">
        <v>103</v>
      </c>
      <c r="C30" s="41" t="s">
        <v>111</v>
      </c>
      <c r="D30" s="46" t="s">
        <v>99</v>
      </c>
      <c r="E30" s="39"/>
      <c r="F30" s="45">
        <f>ROUND(24.96-20.3*F17+4.57*F17^2,2)</f>
        <v>5.65</v>
      </c>
      <c r="G30" s="37"/>
      <c r="H30" s="37"/>
      <c r="I30" s="37"/>
      <c r="J30" s="43">
        <f t="shared" si="1"/>
        <v>27</v>
      </c>
      <c r="K30" s="42" t="s">
        <v>103</v>
      </c>
      <c r="L30" s="41" t="s">
        <v>111</v>
      </c>
      <c r="M30" s="46" t="s">
        <v>99</v>
      </c>
      <c r="N30" s="39"/>
      <c r="O30" s="45">
        <f>ROUND(24.96-20.3*O17+4.57*O17^2,2)</f>
        <v>5.65</v>
      </c>
    </row>
    <row r="31" spans="1:15" ht="45.75" customHeight="1" x14ac:dyDescent="0.25">
      <c r="A31" s="43">
        <f t="shared" si="0"/>
        <v>28</v>
      </c>
      <c r="B31" s="42" t="s">
        <v>103</v>
      </c>
      <c r="C31" s="41" t="s">
        <v>110</v>
      </c>
      <c r="D31" s="46" t="s">
        <v>99</v>
      </c>
      <c r="E31" s="39"/>
      <c r="F31" s="45">
        <f>ROUND(5.66-19.92/F17+16.89/F17^2,2)</f>
        <v>0.09</v>
      </c>
      <c r="G31" s="37"/>
      <c r="H31" s="37"/>
      <c r="I31" s="37"/>
      <c r="J31" s="43">
        <f t="shared" si="1"/>
        <v>28</v>
      </c>
      <c r="K31" s="42" t="s">
        <v>103</v>
      </c>
      <c r="L31" s="41" t="s">
        <v>110</v>
      </c>
      <c r="M31" s="46" t="s">
        <v>99</v>
      </c>
      <c r="N31" s="39"/>
      <c r="O31" s="45">
        <f>ROUND(5.66-19.92/O17+16.89/O17^2,2)</f>
        <v>0.09</v>
      </c>
    </row>
    <row r="32" spans="1:15" ht="39.6" customHeight="1" x14ac:dyDescent="0.25">
      <c r="A32" s="43">
        <f t="shared" si="0"/>
        <v>29</v>
      </c>
      <c r="B32" s="42" t="s">
        <v>103</v>
      </c>
      <c r="C32" s="41" t="s">
        <v>109</v>
      </c>
      <c r="D32" s="46" t="s">
        <v>99</v>
      </c>
      <c r="E32" s="39"/>
      <c r="F32" s="45">
        <f>ROUND(-4.11+14.68/F17-13.39/F17^2,2)</f>
        <v>-0.5</v>
      </c>
      <c r="G32" s="37"/>
      <c r="H32" s="37"/>
      <c r="I32" s="37"/>
      <c r="J32" s="43">
        <f t="shared" si="1"/>
        <v>29</v>
      </c>
      <c r="K32" s="42" t="s">
        <v>103</v>
      </c>
      <c r="L32" s="41" t="s">
        <v>109</v>
      </c>
      <c r="M32" s="46" t="s">
        <v>99</v>
      </c>
      <c r="N32" s="39"/>
      <c r="O32" s="45">
        <f>ROUND(-4.11+14.68/O17-13.39/O17^2,2)</f>
        <v>-0.5</v>
      </c>
    </row>
    <row r="33" spans="1:24" ht="53.25" customHeight="1" x14ac:dyDescent="0.25">
      <c r="A33" s="43">
        <f t="shared" si="0"/>
        <v>30</v>
      </c>
      <c r="B33" s="42" t="s">
        <v>103</v>
      </c>
      <c r="C33" s="41" t="s">
        <v>108</v>
      </c>
      <c r="D33" s="46" t="s">
        <v>99</v>
      </c>
      <c r="E33" s="39"/>
      <c r="F33" s="45">
        <f>0.568-2/F17+1.79/F17^2</f>
        <v>5.8653224112581337E-2</v>
      </c>
      <c r="G33" s="37"/>
      <c r="H33" s="37"/>
      <c r="I33" s="37"/>
      <c r="J33" s="43">
        <f t="shared" si="1"/>
        <v>30</v>
      </c>
      <c r="K33" s="42" t="s">
        <v>103</v>
      </c>
      <c r="L33" s="41" t="s">
        <v>108</v>
      </c>
      <c r="M33" s="46" t="s">
        <v>99</v>
      </c>
      <c r="N33" s="39"/>
      <c r="O33" s="45">
        <f>0.568-2/O17+1.79/O17^2</f>
        <v>5.8653224112581337E-2</v>
      </c>
    </row>
    <row r="34" spans="1:24" ht="42" customHeight="1" x14ac:dyDescent="0.25">
      <c r="A34" s="43">
        <f t="shared" si="0"/>
        <v>31</v>
      </c>
      <c r="B34" s="42" t="s">
        <v>107</v>
      </c>
      <c r="C34" s="41" t="s">
        <v>106</v>
      </c>
      <c r="D34" s="46" t="s">
        <v>105</v>
      </c>
      <c r="E34" s="39"/>
      <c r="F34" s="38">
        <f>ROUND(F30+F31*F16+F32*F16^2+F33*F16^3,2)</f>
        <v>5.64</v>
      </c>
      <c r="G34" s="37"/>
      <c r="H34" s="37"/>
      <c r="I34" s="37"/>
      <c r="J34" s="43">
        <f t="shared" si="1"/>
        <v>31</v>
      </c>
      <c r="K34" s="42" t="s">
        <v>107</v>
      </c>
      <c r="L34" s="41" t="s">
        <v>106</v>
      </c>
      <c r="M34" s="46" t="s">
        <v>105</v>
      </c>
      <c r="N34" s="39"/>
      <c r="O34" s="38">
        <f>ROUND(O30+O31*O16+O32*O16^2+O33*O16^3,2)*1.1</f>
        <v>5.1920000000000002</v>
      </c>
    </row>
    <row r="35" spans="1:24" ht="39.75" customHeight="1" x14ac:dyDescent="0.25">
      <c r="A35" s="43">
        <f t="shared" si="0"/>
        <v>32</v>
      </c>
      <c r="B35" s="42" t="s">
        <v>103</v>
      </c>
      <c r="C35" s="41" t="s">
        <v>104</v>
      </c>
      <c r="D35" s="46" t="s">
        <v>99</v>
      </c>
      <c r="E35" s="39"/>
      <c r="F35" s="45">
        <f>-0.39+2.03/F17-3.16/F17^2+1.09/F17^3</f>
        <v>-0.16354806108812903</v>
      </c>
      <c r="G35" s="47"/>
      <c r="H35" s="36"/>
      <c r="I35" s="36"/>
      <c r="J35" s="43">
        <f t="shared" si="1"/>
        <v>32</v>
      </c>
      <c r="K35" s="42" t="s">
        <v>103</v>
      </c>
      <c r="L35" s="41" t="s">
        <v>104</v>
      </c>
      <c r="M35" s="46" t="s">
        <v>99</v>
      </c>
      <c r="N35" s="39"/>
      <c r="O35" s="45">
        <f>-0.39+2.03/O17-3.16/O17^2+1.09/O17^3</f>
        <v>-0.16354806108812903</v>
      </c>
    </row>
    <row r="36" spans="1:24" ht="42" customHeight="1" x14ac:dyDescent="0.25">
      <c r="A36" s="43">
        <f t="shared" si="0"/>
        <v>33</v>
      </c>
      <c r="B36" s="42" t="s">
        <v>103</v>
      </c>
      <c r="C36" s="41" t="s">
        <v>102</v>
      </c>
      <c r="D36" s="46" t="s">
        <v>99</v>
      </c>
      <c r="E36" s="39"/>
      <c r="F36" s="45">
        <f>0.0423-0.1812/F17+0.2124/F17^2</f>
        <v>2.2526843100189056E-2</v>
      </c>
      <c r="G36" s="37"/>
      <c r="H36" s="37"/>
      <c r="I36" s="37"/>
      <c r="J36" s="43">
        <f t="shared" si="1"/>
        <v>33</v>
      </c>
      <c r="K36" s="42" t="s">
        <v>103</v>
      </c>
      <c r="L36" s="41" t="s">
        <v>102</v>
      </c>
      <c r="M36" s="46" t="s">
        <v>99</v>
      </c>
      <c r="N36" s="39"/>
      <c r="O36" s="45">
        <f>0.0423-0.1812/O17+0.2124/O17^2</f>
        <v>2.2526843100189056E-2</v>
      </c>
    </row>
    <row r="37" spans="1:24" ht="28.2" customHeight="1" x14ac:dyDescent="0.3">
      <c r="A37" s="43">
        <f t="shared" si="0"/>
        <v>34</v>
      </c>
      <c r="B37" s="42" t="s">
        <v>101</v>
      </c>
      <c r="C37" s="41" t="s">
        <v>100</v>
      </c>
      <c r="D37" s="40" t="s">
        <v>99</v>
      </c>
      <c r="E37" s="39"/>
      <c r="F37" s="38">
        <f>ROUND(1+F35*F16+F36*F16^2,3)</f>
        <v>0.95599999999999996</v>
      </c>
      <c r="G37" s="44"/>
      <c r="H37" s="44"/>
      <c r="I37" s="44"/>
      <c r="J37" s="43">
        <f t="shared" si="1"/>
        <v>34</v>
      </c>
      <c r="K37" s="42" t="s">
        <v>101</v>
      </c>
      <c r="L37" s="41" t="s">
        <v>100</v>
      </c>
      <c r="M37" s="40" t="s">
        <v>99</v>
      </c>
      <c r="N37" s="39"/>
      <c r="O37" s="38">
        <f>ROUND(1+O35*O16+O36*O16^2,3)</f>
        <v>0.79300000000000004</v>
      </c>
    </row>
    <row r="38" spans="1:24" ht="15" customHeight="1" x14ac:dyDescent="0.25">
      <c r="B38" s="35"/>
      <c r="C38" s="35"/>
      <c r="D38" s="35"/>
      <c r="E38" s="35"/>
      <c r="F38" s="35"/>
      <c r="G38" s="37"/>
      <c r="H38" s="37"/>
      <c r="I38" s="37"/>
    </row>
    <row r="39" spans="1:24" ht="17.399999999999999" customHeight="1" x14ac:dyDescent="0.25">
      <c r="B39" s="35"/>
      <c r="C39" s="35"/>
      <c r="D39" s="35"/>
      <c r="E39" s="35"/>
      <c r="F39" s="35"/>
      <c r="G39" s="37"/>
      <c r="H39" s="37"/>
      <c r="I39" s="37"/>
    </row>
    <row r="40" spans="1:24" ht="18" customHeight="1" x14ac:dyDescent="0.25">
      <c r="G40" s="37"/>
      <c r="H40" s="37"/>
      <c r="I40" s="37"/>
    </row>
    <row r="41" spans="1:24" ht="14.4" customHeight="1" x14ac:dyDescent="0.25">
      <c r="G41" s="37"/>
      <c r="H41" s="37"/>
      <c r="I41" s="37"/>
    </row>
    <row r="42" spans="1:24" ht="17.399999999999999" customHeight="1" x14ac:dyDescent="0.25">
      <c r="G42" s="36"/>
      <c r="H42" s="36"/>
      <c r="I42" s="36"/>
    </row>
    <row r="44" spans="1:24" ht="109.2" x14ac:dyDescent="0.25">
      <c r="A44" s="27" t="s">
        <v>98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19"/>
      <c r="M44" s="19"/>
      <c r="N44" s="19"/>
      <c r="O44" s="19"/>
      <c r="P44" s="35"/>
      <c r="Q44" s="31"/>
      <c r="R44" s="31"/>
    </row>
    <row r="45" spans="1:24" ht="126" x14ac:dyDescent="0.25">
      <c r="A45" s="27" t="s">
        <v>1</v>
      </c>
      <c r="B45" s="27" t="s">
        <v>2</v>
      </c>
      <c r="C45" s="34" t="s">
        <v>3</v>
      </c>
      <c r="D45" s="34" t="s">
        <v>97</v>
      </c>
      <c r="E45" s="34" t="s">
        <v>96</v>
      </c>
      <c r="F45" s="34" t="s">
        <v>95</v>
      </c>
      <c r="G45" s="34" t="s">
        <v>94</v>
      </c>
      <c r="H45" s="27" t="s">
        <v>93</v>
      </c>
      <c r="I45" s="27" t="s">
        <v>92</v>
      </c>
      <c r="J45" s="27" t="s">
        <v>91</v>
      </c>
      <c r="K45" s="27" t="s">
        <v>90</v>
      </c>
      <c r="L45" s="19"/>
      <c r="M45" s="33" t="s">
        <v>89</v>
      </c>
      <c r="N45" s="19"/>
      <c r="O45" s="33" t="s">
        <v>88</v>
      </c>
      <c r="P45" s="19"/>
      <c r="Q45" s="33" t="s">
        <v>87</v>
      </c>
      <c r="R45" s="31"/>
      <c r="S45" s="33"/>
      <c r="U45" s="33"/>
      <c r="X45" s="33" t="s">
        <v>85</v>
      </c>
    </row>
    <row r="46" spans="1:24" ht="21" x14ac:dyDescent="0.25">
      <c r="A46" s="27"/>
      <c r="B46" s="27"/>
      <c r="C46" s="27"/>
      <c r="D46" s="34"/>
      <c r="E46" s="34"/>
      <c r="F46" s="34"/>
      <c r="G46" s="34"/>
      <c r="H46" s="27"/>
      <c r="I46" s="27"/>
      <c r="J46" s="27"/>
      <c r="K46" s="27"/>
      <c r="L46" s="19"/>
      <c r="M46" s="33"/>
      <c r="N46" s="19"/>
      <c r="O46" s="33"/>
      <c r="P46" s="19"/>
      <c r="Q46" s="33"/>
      <c r="R46" s="31"/>
      <c r="S46" s="33"/>
      <c r="U46" s="33"/>
      <c r="X46" s="33"/>
    </row>
    <row r="47" spans="1:24" ht="15.6" x14ac:dyDescent="0.25">
      <c r="A47" s="30" t="s">
        <v>4</v>
      </c>
      <c r="B47" s="27" t="s">
        <v>5</v>
      </c>
      <c r="C47" s="29">
        <f>'Исходные данные'!C13</f>
        <v>91.73</v>
      </c>
      <c r="D47" s="28">
        <f>C47/100</f>
        <v>0.9173</v>
      </c>
      <c r="E47" s="28">
        <f>D47/F47/$S$77</f>
        <v>0.91707123142326541</v>
      </c>
      <c r="F47" s="27">
        <v>0.99809999999999999</v>
      </c>
      <c r="G47" s="26">
        <v>16.042999999999999</v>
      </c>
      <c r="H47" s="25">
        <v>0.66820000000000002</v>
      </c>
      <c r="I47" s="24">
        <v>190.56</v>
      </c>
      <c r="J47" s="23">
        <v>4.5987999999999998</v>
      </c>
      <c r="K47" s="22">
        <v>111.65</v>
      </c>
      <c r="L47" s="19"/>
      <c r="M47" s="18">
        <f>D47*I47</f>
        <v>174.80068800000001</v>
      </c>
      <c r="N47" s="19"/>
      <c r="O47" s="16">
        <f>D47*J47</f>
        <v>4.2184792399999997</v>
      </c>
      <c r="P47" s="19"/>
      <c r="Q47" s="16">
        <f>D47*G47</f>
        <v>14.7162439</v>
      </c>
      <c r="R47" s="31"/>
      <c r="S47" s="16">
        <f>D47/F47</f>
        <v>0.91904618775673785</v>
      </c>
      <c r="U47" s="14">
        <f>D47*H47</f>
        <v>0.61293986</v>
      </c>
      <c r="X47" s="14">
        <f>E47/F47</f>
        <v>0.91881698369228071</v>
      </c>
    </row>
    <row r="48" spans="1:24" ht="15.6" x14ac:dyDescent="0.25">
      <c r="A48" s="30" t="s">
        <v>6</v>
      </c>
      <c r="B48" s="27" t="s">
        <v>7</v>
      </c>
      <c r="C48" s="29">
        <f>'Исходные данные'!C14</f>
        <v>4.28</v>
      </c>
      <c r="D48" s="28">
        <f t="shared" ref="D48:D76" si="2">C48/100</f>
        <v>4.2800000000000005E-2</v>
      </c>
      <c r="E48" s="28">
        <f t="shared" ref="E48:E76" si="3">D48/F48/$S$77</f>
        <v>4.3052445809115929E-2</v>
      </c>
      <c r="F48" s="27">
        <v>0.99199999999999999</v>
      </c>
      <c r="G48" s="26">
        <v>30.07</v>
      </c>
      <c r="H48" s="25">
        <v>1.2601</v>
      </c>
      <c r="I48" s="24">
        <v>305.83</v>
      </c>
      <c r="J48" s="23">
        <v>4.88</v>
      </c>
      <c r="K48" s="22">
        <v>184.55</v>
      </c>
      <c r="L48" s="19"/>
      <c r="M48" s="18">
        <f>D48*I48</f>
        <v>13.089524000000001</v>
      </c>
      <c r="N48" s="19"/>
      <c r="O48" s="16">
        <f t="shared" ref="O48:O76" si="4">D48*J48</f>
        <v>0.20886400000000002</v>
      </c>
      <c r="P48" s="19"/>
      <c r="Q48" s="16">
        <f t="shared" ref="Q48:Q76" si="5">D48*G48</f>
        <v>1.2869960000000003</v>
      </c>
      <c r="R48" s="31"/>
      <c r="S48" s="16">
        <f t="shared" ref="S48:S76" si="6">D48/F48</f>
        <v>4.3145161290322587E-2</v>
      </c>
      <c r="U48" s="14">
        <f t="shared" ref="U48:U74" si="7">D48*H48</f>
        <v>5.3932280000000006E-2</v>
      </c>
      <c r="X48" s="14">
        <f t="shared" ref="X48:X75" si="8">E48/F48</f>
        <v>4.3399642952737828E-2</v>
      </c>
    </row>
    <row r="49" spans="1:24" ht="15.6" x14ac:dyDescent="0.25">
      <c r="A49" s="30" t="s">
        <v>8</v>
      </c>
      <c r="B49" s="27" t="s">
        <v>9</v>
      </c>
      <c r="C49" s="29">
        <f>'Исходные данные'!C15</f>
        <v>1.87</v>
      </c>
      <c r="D49" s="28">
        <f t="shared" si="2"/>
        <v>1.8700000000000001E-2</v>
      </c>
      <c r="E49" s="28">
        <f t="shared" si="3"/>
        <v>1.8974796831549134E-2</v>
      </c>
      <c r="F49" s="27">
        <v>0.98340000000000005</v>
      </c>
      <c r="G49" s="26">
        <v>44.097000000000001</v>
      </c>
      <c r="H49" s="25">
        <v>1.8641000000000001</v>
      </c>
      <c r="I49" s="24">
        <v>369.82</v>
      </c>
      <c r="J49" s="23">
        <v>4.25</v>
      </c>
      <c r="K49" s="22">
        <v>231.05</v>
      </c>
      <c r="L49" s="19"/>
      <c r="M49" s="18">
        <f t="shared" ref="M49:M76" si="9">D49*I49</f>
        <v>6.9156340000000007</v>
      </c>
      <c r="N49" s="19"/>
      <c r="O49" s="16">
        <f t="shared" si="4"/>
        <v>7.9475000000000004E-2</v>
      </c>
      <c r="P49" s="19"/>
      <c r="Q49" s="16">
        <f t="shared" si="5"/>
        <v>0.82461390000000012</v>
      </c>
      <c r="R49" s="31"/>
      <c r="S49" s="16">
        <f t="shared" si="6"/>
        <v>1.901565995525727E-2</v>
      </c>
      <c r="U49" s="14">
        <f t="shared" si="7"/>
        <v>3.4858670000000001E-2</v>
      </c>
      <c r="X49" s="14">
        <f t="shared" si="8"/>
        <v>1.9295095415445527E-2</v>
      </c>
    </row>
    <row r="50" spans="1:24" ht="15.6" x14ac:dyDescent="0.25">
      <c r="A50" s="30" t="s">
        <v>10</v>
      </c>
      <c r="B50" s="27" t="s">
        <v>11</v>
      </c>
      <c r="C50" s="29">
        <f>'Исходные данные'!C16</f>
        <v>0.4803</v>
      </c>
      <c r="D50" s="28">
        <f t="shared" si="2"/>
        <v>4.803E-3</v>
      </c>
      <c r="E50" s="28">
        <f t="shared" si="3"/>
        <v>4.9500916539269883E-3</v>
      </c>
      <c r="F50" s="27">
        <v>0.96819999999999995</v>
      </c>
      <c r="G50" s="26">
        <v>58.122999999999998</v>
      </c>
      <c r="H50" s="25">
        <v>2.4956</v>
      </c>
      <c r="I50" s="24">
        <v>425.14</v>
      </c>
      <c r="J50" s="23">
        <v>3.7839999999999998</v>
      </c>
      <c r="K50" s="22">
        <v>272.67</v>
      </c>
      <c r="L50" s="19"/>
      <c r="M50" s="18">
        <f t="shared" si="9"/>
        <v>2.0419474200000001</v>
      </c>
      <c r="N50" s="19"/>
      <c r="O50" s="16">
        <f t="shared" si="4"/>
        <v>1.8174552E-2</v>
      </c>
      <c r="P50" s="19"/>
      <c r="Q50" s="16">
        <f t="shared" si="5"/>
        <v>0.27916476899999998</v>
      </c>
      <c r="R50" s="31"/>
      <c r="S50" s="16">
        <f t="shared" si="6"/>
        <v>4.9607519107622393E-3</v>
      </c>
      <c r="U50" s="14">
        <f t="shared" si="7"/>
        <v>1.19863668E-2</v>
      </c>
      <c r="X50" s="14">
        <f t="shared" si="8"/>
        <v>5.1126747096952993E-3</v>
      </c>
    </row>
    <row r="51" spans="1:24" ht="15.6" x14ac:dyDescent="0.25">
      <c r="A51" s="30" t="s">
        <v>12</v>
      </c>
      <c r="B51" s="27" t="s">
        <v>13</v>
      </c>
      <c r="C51" s="29">
        <f>'Исходные данные'!C17</f>
        <v>0.37323000000000001</v>
      </c>
      <c r="D51" s="28">
        <f t="shared" si="2"/>
        <v>3.7323E-3</v>
      </c>
      <c r="E51" s="28">
        <f t="shared" si="3"/>
        <v>3.8355093589183624E-3</v>
      </c>
      <c r="F51" s="27">
        <v>0.97099999999999997</v>
      </c>
      <c r="G51" s="26">
        <v>58.122999999999998</v>
      </c>
      <c r="H51" s="25">
        <v>2.488</v>
      </c>
      <c r="I51" s="24">
        <v>408.13</v>
      </c>
      <c r="J51" s="23">
        <v>3.6480000000000001</v>
      </c>
      <c r="K51" s="22">
        <v>261.42</v>
      </c>
      <c r="L51" s="19"/>
      <c r="M51" s="18">
        <f t="shared" si="9"/>
        <v>1.5232635990000001</v>
      </c>
      <c r="N51" s="19"/>
      <c r="O51" s="16">
        <f t="shared" si="4"/>
        <v>1.3615430400000001E-2</v>
      </c>
      <c r="P51" s="19"/>
      <c r="Q51" s="16">
        <f t="shared" si="5"/>
        <v>0.21693247290000001</v>
      </c>
      <c r="R51" s="31"/>
      <c r="S51" s="16">
        <f t="shared" si="6"/>
        <v>3.8437693099897014E-3</v>
      </c>
      <c r="U51" s="14">
        <f t="shared" si="7"/>
        <v>9.2859624000000002E-3</v>
      </c>
      <c r="X51" s="14">
        <f t="shared" si="8"/>
        <v>3.9500611317387878E-3</v>
      </c>
    </row>
    <row r="52" spans="1:24" ht="55.5" customHeight="1" x14ac:dyDescent="0.25">
      <c r="A52" s="30" t="s">
        <v>14</v>
      </c>
      <c r="B52" s="27" t="s">
        <v>15</v>
      </c>
      <c r="C52" s="29">
        <f>'Исходные данные'!C18</f>
        <v>7.8049999999999994E-2</v>
      </c>
      <c r="D52" s="28">
        <f t="shared" si="2"/>
        <v>7.8049999999999994E-4</v>
      </c>
      <c r="E52" s="28">
        <f t="shared" si="3"/>
        <v>8.2415107754494525E-4</v>
      </c>
      <c r="F52" s="27">
        <v>0.94499999999999995</v>
      </c>
      <c r="G52" s="26">
        <v>72.150000000000006</v>
      </c>
      <c r="H52" s="25">
        <v>3.1739999999999999</v>
      </c>
      <c r="I52" s="24">
        <v>469.69</v>
      </c>
      <c r="J52" s="23">
        <v>3.3639999999999999</v>
      </c>
      <c r="K52" s="22">
        <v>309.19</v>
      </c>
      <c r="L52" s="19"/>
      <c r="M52" s="18">
        <f t="shared" si="9"/>
        <v>0.36659304499999995</v>
      </c>
      <c r="N52" s="19"/>
      <c r="O52" s="16">
        <f t="shared" si="4"/>
        <v>2.6256019999999999E-3</v>
      </c>
      <c r="P52" s="19"/>
      <c r="Q52" s="16">
        <f t="shared" si="5"/>
        <v>5.6313074999999997E-2</v>
      </c>
      <c r="R52" s="31"/>
      <c r="S52" s="16">
        <f t="shared" si="6"/>
        <v>8.2592592592592592E-4</v>
      </c>
      <c r="U52" s="14">
        <f t="shared" si="7"/>
        <v>2.4773069999999998E-3</v>
      </c>
      <c r="X52" s="14">
        <f t="shared" si="8"/>
        <v>8.7211754237560347E-4</v>
      </c>
    </row>
    <row r="53" spans="1:24" ht="31.2" x14ac:dyDescent="0.25">
      <c r="A53" s="30" t="s">
        <v>16</v>
      </c>
      <c r="B53" s="27" t="s">
        <v>17</v>
      </c>
      <c r="C53" s="29">
        <f>'Исходные данные'!C19</f>
        <v>1.2508E-2</v>
      </c>
      <c r="D53" s="28">
        <f t="shared" si="2"/>
        <v>1.2507999999999999E-4</v>
      </c>
      <c r="E53" s="28">
        <f t="shared" si="3"/>
        <v>1.3096664547836603E-4</v>
      </c>
      <c r="F53" s="27">
        <v>0.95299999999999996</v>
      </c>
      <c r="G53" s="26">
        <v>72.150000000000006</v>
      </c>
      <c r="H53" s="25">
        <v>3.1469999999999998</v>
      </c>
      <c r="I53" s="24">
        <v>460.39</v>
      </c>
      <c r="J53" s="23">
        <v>3.3809999999999998</v>
      </c>
      <c r="K53" s="22">
        <v>301.02</v>
      </c>
      <c r="L53" s="19"/>
      <c r="M53" s="18">
        <f t="shared" si="9"/>
        <v>5.7585581199999993E-2</v>
      </c>
      <c r="N53" s="19"/>
      <c r="O53" s="16">
        <f t="shared" si="4"/>
        <v>4.2289547999999993E-4</v>
      </c>
      <c r="P53" s="19"/>
      <c r="Q53" s="16">
        <f t="shared" si="5"/>
        <v>9.0245220000000001E-3</v>
      </c>
      <c r="R53" s="31"/>
      <c r="S53" s="16">
        <f t="shared" si="6"/>
        <v>1.3124868835257081E-4</v>
      </c>
      <c r="U53" s="14">
        <f t="shared" si="7"/>
        <v>3.9362675999999995E-4</v>
      </c>
      <c r="X53" s="14">
        <f t="shared" si="8"/>
        <v>1.3742565107908295E-4</v>
      </c>
    </row>
    <row r="54" spans="1:24" ht="31.2" x14ac:dyDescent="0.25">
      <c r="A54" s="30" t="s">
        <v>18</v>
      </c>
      <c r="B54" s="27" t="s">
        <v>19</v>
      </c>
      <c r="C54" s="29">
        <f>'Исходные данные'!C20</f>
        <v>7.3050000000000004E-2</v>
      </c>
      <c r="D54" s="28">
        <f t="shared" si="2"/>
        <v>7.3050000000000003E-4</v>
      </c>
      <c r="E54" s="28">
        <f>D54/F54/$S$77</f>
        <v>7.9317759984569541E-4</v>
      </c>
      <c r="F54" s="27">
        <v>0.91900000000000004</v>
      </c>
      <c r="G54" s="26">
        <v>86.177000000000007</v>
      </c>
      <c r="H54" s="25">
        <v>3.8980000000000001</v>
      </c>
      <c r="I54" s="24">
        <v>506.4</v>
      </c>
      <c r="J54" s="23">
        <v>3.03</v>
      </c>
      <c r="K54" s="22">
        <v>341.89</v>
      </c>
      <c r="L54" s="19"/>
      <c r="M54" s="18">
        <f t="shared" si="9"/>
        <v>0.36992520000000001</v>
      </c>
      <c r="N54" s="19"/>
      <c r="O54" s="16">
        <f t="shared" si="4"/>
        <v>2.2134149999999998E-3</v>
      </c>
      <c r="P54" s="19"/>
      <c r="Q54" s="16">
        <f t="shared" si="5"/>
        <v>6.2952298500000003E-2</v>
      </c>
      <c r="R54" s="31"/>
      <c r="S54" s="16">
        <f t="shared" si="6"/>
        <v>7.9488574537540805E-4</v>
      </c>
      <c r="U54" s="14">
        <f t="shared" si="7"/>
        <v>2.8474890000000004E-3</v>
      </c>
      <c r="X54" s="14">
        <f t="shared" si="8"/>
        <v>8.6308770385821044E-4</v>
      </c>
    </row>
    <row r="55" spans="1:24" ht="31.2" x14ac:dyDescent="0.25">
      <c r="A55" s="30" t="s">
        <v>20</v>
      </c>
      <c r="B55" s="27" t="s">
        <v>21</v>
      </c>
      <c r="C55" s="29">
        <f>'Исходные данные'!C21</f>
        <v>0</v>
      </c>
      <c r="D55" s="28">
        <f t="shared" si="2"/>
        <v>0</v>
      </c>
      <c r="E55" s="28">
        <f t="shared" si="3"/>
        <v>0</v>
      </c>
      <c r="F55" s="27">
        <v>0.876</v>
      </c>
      <c r="G55" s="26">
        <v>100.20399999999999</v>
      </c>
      <c r="H55" s="25">
        <v>4.7549999999999999</v>
      </c>
      <c r="I55" s="24">
        <v>539.20000000000005</v>
      </c>
      <c r="J55" s="23">
        <v>2.74</v>
      </c>
      <c r="K55" s="22">
        <v>371.58</v>
      </c>
      <c r="L55" s="19"/>
      <c r="M55" s="18">
        <f t="shared" si="9"/>
        <v>0</v>
      </c>
      <c r="N55" s="19"/>
      <c r="O55" s="16">
        <f t="shared" si="4"/>
        <v>0</v>
      </c>
      <c r="P55" s="19"/>
      <c r="Q55" s="16">
        <f t="shared" si="5"/>
        <v>0</v>
      </c>
      <c r="R55" s="32"/>
      <c r="S55" s="16">
        <f t="shared" si="6"/>
        <v>0</v>
      </c>
      <c r="U55" s="14">
        <f t="shared" si="7"/>
        <v>0</v>
      </c>
      <c r="X55" s="14">
        <f t="shared" si="8"/>
        <v>0</v>
      </c>
    </row>
    <row r="56" spans="1:24" ht="15.6" x14ac:dyDescent="0.25">
      <c r="A56" s="30" t="s">
        <v>22</v>
      </c>
      <c r="B56" s="27" t="s">
        <v>23</v>
      </c>
      <c r="C56" s="29">
        <f>'Исходные данные'!C22</f>
        <v>0</v>
      </c>
      <c r="D56" s="28">
        <f t="shared" si="2"/>
        <v>0</v>
      </c>
      <c r="E56" s="28">
        <f t="shared" si="3"/>
        <v>0</v>
      </c>
      <c r="F56" s="27">
        <v>0.81699999999999995</v>
      </c>
      <c r="G56" s="26">
        <v>114.23099999999999</v>
      </c>
      <c r="H56" s="25">
        <v>5.8120000000000003</v>
      </c>
      <c r="I56" s="24">
        <v>568.4</v>
      </c>
      <c r="J56" s="23">
        <v>2.4900000000000002</v>
      </c>
      <c r="K56" s="22">
        <v>398.83</v>
      </c>
      <c r="L56" s="19"/>
      <c r="M56" s="18">
        <f t="shared" si="9"/>
        <v>0</v>
      </c>
      <c r="N56" s="19"/>
      <c r="O56" s="16">
        <f t="shared" si="4"/>
        <v>0</v>
      </c>
      <c r="P56" s="19"/>
      <c r="Q56" s="16">
        <f t="shared" si="5"/>
        <v>0</v>
      </c>
      <c r="R56" s="31"/>
      <c r="S56" s="16">
        <f t="shared" si="6"/>
        <v>0</v>
      </c>
      <c r="U56" s="14">
        <f t="shared" si="7"/>
        <v>0</v>
      </c>
      <c r="X56" s="14">
        <f t="shared" si="8"/>
        <v>0</v>
      </c>
    </row>
    <row r="57" spans="1:24" ht="31.2" x14ac:dyDescent="0.25">
      <c r="A57" s="30" t="s">
        <v>24</v>
      </c>
      <c r="B57" s="27" t="s">
        <v>25</v>
      </c>
      <c r="C57" s="29">
        <f>'Исходные данные'!C23</f>
        <v>0</v>
      </c>
      <c r="D57" s="28">
        <f t="shared" si="2"/>
        <v>0</v>
      </c>
      <c r="E57" s="28">
        <f t="shared" si="3"/>
        <v>0</v>
      </c>
      <c r="F57" s="27">
        <v>0.99299999999999999</v>
      </c>
      <c r="G57" s="26">
        <v>26.038</v>
      </c>
      <c r="H57" s="25">
        <v>1.0900000000000001</v>
      </c>
      <c r="I57" s="24">
        <v>308.33</v>
      </c>
      <c r="J57" s="23">
        <v>6.1390000000000002</v>
      </c>
      <c r="K57" s="22">
        <v>189.15</v>
      </c>
      <c r="L57" s="19"/>
      <c r="M57" s="18">
        <f t="shared" si="9"/>
        <v>0</v>
      </c>
      <c r="N57" s="19"/>
      <c r="O57" s="16">
        <f t="shared" si="4"/>
        <v>0</v>
      </c>
      <c r="P57" s="19"/>
      <c r="Q57" s="16">
        <f t="shared" si="5"/>
        <v>0</v>
      </c>
      <c r="R57" s="31"/>
      <c r="S57" s="16">
        <f t="shared" si="6"/>
        <v>0</v>
      </c>
      <c r="U57" s="14">
        <f t="shared" si="7"/>
        <v>0</v>
      </c>
      <c r="X57" s="14">
        <f t="shared" si="8"/>
        <v>0</v>
      </c>
    </row>
    <row r="58" spans="1:24" ht="15.6" x14ac:dyDescent="0.25">
      <c r="A58" s="30" t="s">
        <v>26</v>
      </c>
      <c r="B58" s="27" t="s">
        <v>27</v>
      </c>
      <c r="C58" s="29">
        <f>'Исходные данные'!C24</f>
        <v>0</v>
      </c>
      <c r="D58" s="28">
        <f t="shared" si="2"/>
        <v>0</v>
      </c>
      <c r="E58" s="28">
        <f t="shared" si="3"/>
        <v>0</v>
      </c>
      <c r="F58" s="27">
        <v>0.99399999999999999</v>
      </c>
      <c r="G58" s="26">
        <v>28.053999999999998</v>
      </c>
      <c r="H58" s="25">
        <v>1.1733</v>
      </c>
      <c r="I58" s="24">
        <v>282.35000000000002</v>
      </c>
      <c r="J58" s="23">
        <v>5.0419999999999998</v>
      </c>
      <c r="K58" s="22">
        <v>169.44</v>
      </c>
      <c r="L58" s="19"/>
      <c r="M58" s="18">
        <f t="shared" si="9"/>
        <v>0</v>
      </c>
      <c r="N58" s="19"/>
      <c r="O58" s="16">
        <f t="shared" si="4"/>
        <v>0</v>
      </c>
      <c r="P58" s="19"/>
      <c r="Q58" s="16">
        <f t="shared" si="5"/>
        <v>0</v>
      </c>
      <c r="R58" s="31"/>
      <c r="S58" s="16">
        <f t="shared" si="6"/>
        <v>0</v>
      </c>
      <c r="U58" s="14">
        <f t="shared" si="7"/>
        <v>0</v>
      </c>
      <c r="X58" s="14">
        <f t="shared" si="8"/>
        <v>0</v>
      </c>
    </row>
    <row r="59" spans="1:24" ht="31.2" x14ac:dyDescent="0.25">
      <c r="A59" s="30" t="s">
        <v>28</v>
      </c>
      <c r="B59" s="27" t="s">
        <v>29</v>
      </c>
      <c r="C59" s="29">
        <f>'Исходные данные'!C25</f>
        <v>0</v>
      </c>
      <c r="D59" s="28">
        <f t="shared" si="2"/>
        <v>0</v>
      </c>
      <c r="E59" s="28">
        <f t="shared" si="3"/>
        <v>0</v>
      </c>
      <c r="F59" s="27">
        <v>0.98499999999999999</v>
      </c>
      <c r="G59" s="26">
        <v>42.081000000000003</v>
      </c>
      <c r="H59" s="25">
        <v>1.776</v>
      </c>
      <c r="I59" s="24">
        <v>364.85</v>
      </c>
      <c r="J59" s="23">
        <v>4.601</v>
      </c>
      <c r="K59" s="22">
        <v>225.45</v>
      </c>
      <c r="L59" s="19"/>
      <c r="M59" s="18">
        <f t="shared" si="9"/>
        <v>0</v>
      </c>
      <c r="N59" s="19"/>
      <c r="O59" s="16">
        <f t="shared" si="4"/>
        <v>0</v>
      </c>
      <c r="P59" s="19"/>
      <c r="Q59" s="16">
        <f t="shared" si="5"/>
        <v>0</v>
      </c>
      <c r="R59" s="31"/>
      <c r="S59" s="16">
        <f t="shared" si="6"/>
        <v>0</v>
      </c>
      <c r="U59" s="14">
        <f t="shared" si="7"/>
        <v>0</v>
      </c>
      <c r="X59" s="14">
        <f t="shared" si="8"/>
        <v>0</v>
      </c>
    </row>
    <row r="60" spans="1:24" ht="15.6" x14ac:dyDescent="0.25">
      <c r="A60" s="30" t="s">
        <v>30</v>
      </c>
      <c r="B60" s="27" t="s">
        <v>31</v>
      </c>
      <c r="C60" s="29">
        <f>'Исходные данные'!C26</f>
        <v>0</v>
      </c>
      <c r="D60" s="28">
        <f t="shared" si="2"/>
        <v>0</v>
      </c>
      <c r="E60" s="28">
        <f t="shared" si="3"/>
        <v>0</v>
      </c>
      <c r="F60" s="27">
        <v>0.93600000000000005</v>
      </c>
      <c r="G60" s="26">
        <v>78.114000000000004</v>
      </c>
      <c r="H60" s="25">
        <v>3.4689999999999999</v>
      </c>
      <c r="I60" s="24">
        <v>562.16</v>
      </c>
      <c r="J60" s="23">
        <v>4.8979999999999997</v>
      </c>
      <c r="K60" s="22">
        <v>353.25</v>
      </c>
      <c r="L60" s="19"/>
      <c r="M60" s="18">
        <f t="shared" si="9"/>
        <v>0</v>
      </c>
      <c r="N60" s="19"/>
      <c r="O60" s="16">
        <f t="shared" si="4"/>
        <v>0</v>
      </c>
      <c r="P60" s="19"/>
      <c r="Q60" s="16">
        <f t="shared" si="5"/>
        <v>0</v>
      </c>
      <c r="R60" s="31"/>
      <c r="S60" s="16">
        <f t="shared" si="6"/>
        <v>0</v>
      </c>
      <c r="U60" s="14">
        <f t="shared" si="7"/>
        <v>0</v>
      </c>
      <c r="X60" s="14">
        <f t="shared" si="8"/>
        <v>0</v>
      </c>
    </row>
    <row r="61" spans="1:24" ht="15.6" x14ac:dyDescent="0.25">
      <c r="A61" s="30" t="s">
        <v>32</v>
      </c>
      <c r="B61" s="27" t="s">
        <v>33</v>
      </c>
      <c r="C61" s="29">
        <f>'Исходные данные'!C27</f>
        <v>0</v>
      </c>
      <c r="D61" s="28">
        <f t="shared" si="2"/>
        <v>0</v>
      </c>
      <c r="E61" s="28">
        <f t="shared" si="3"/>
        <v>0</v>
      </c>
      <c r="F61" s="27">
        <v>0.89200000000000002</v>
      </c>
      <c r="G61" s="26">
        <v>92.141000000000005</v>
      </c>
      <c r="H61" s="25">
        <v>4.2939999999999996</v>
      </c>
      <c r="I61" s="24">
        <v>591.79999999999995</v>
      </c>
      <c r="J61" s="23">
        <v>4.1059999999999999</v>
      </c>
      <c r="K61" s="22">
        <v>383.78</v>
      </c>
      <c r="L61" s="19"/>
      <c r="M61" s="18">
        <f t="shared" si="9"/>
        <v>0</v>
      </c>
      <c r="N61" s="19"/>
      <c r="O61" s="16">
        <f t="shared" si="4"/>
        <v>0</v>
      </c>
      <c r="P61" s="19"/>
      <c r="Q61" s="16">
        <f t="shared" si="5"/>
        <v>0</v>
      </c>
      <c r="R61" s="31"/>
      <c r="S61" s="16">
        <f t="shared" si="6"/>
        <v>0</v>
      </c>
      <c r="U61" s="14">
        <f t="shared" si="7"/>
        <v>0</v>
      </c>
      <c r="X61" s="14">
        <f t="shared" si="8"/>
        <v>0</v>
      </c>
    </row>
    <row r="62" spans="1:24" ht="15.6" x14ac:dyDescent="0.25">
      <c r="A62" s="30" t="s">
        <v>34</v>
      </c>
      <c r="B62" s="27" t="s">
        <v>35</v>
      </c>
      <c r="C62" s="29">
        <f>'Исходные данные'!C28</f>
        <v>1.0000000000000001E-5</v>
      </c>
      <c r="D62" s="28">
        <f t="shared" si="2"/>
        <v>1.0000000000000001E-7</v>
      </c>
      <c r="E62" s="28">
        <f t="shared" si="3"/>
        <v>9.9725272879830522E-8</v>
      </c>
      <c r="F62" s="27">
        <v>1.0005999999999999</v>
      </c>
      <c r="G62" s="26">
        <v>2.016</v>
      </c>
      <c r="H62" s="25">
        <v>8.3799999999999999E-2</v>
      </c>
      <c r="I62" s="24">
        <v>33.200000000000003</v>
      </c>
      <c r="J62" s="23">
        <v>1.2969999999999999</v>
      </c>
      <c r="K62" s="22">
        <v>20.350000000000001</v>
      </c>
      <c r="L62" s="19"/>
      <c r="M62" s="18">
        <f t="shared" si="9"/>
        <v>3.3200000000000004E-6</v>
      </c>
      <c r="N62" s="19"/>
      <c r="O62" s="16">
        <f t="shared" si="4"/>
        <v>1.297E-7</v>
      </c>
      <c r="P62" s="19"/>
      <c r="Q62" s="16">
        <f t="shared" si="5"/>
        <v>2.0160000000000003E-7</v>
      </c>
      <c r="R62" s="31"/>
      <c r="S62" s="16">
        <f t="shared" si="6"/>
        <v>9.9940035978412973E-8</v>
      </c>
      <c r="U62" s="14">
        <f t="shared" si="7"/>
        <v>8.3800000000000013E-9</v>
      </c>
      <c r="X62" s="14">
        <f t="shared" si="8"/>
        <v>9.9665473595673122E-8</v>
      </c>
    </row>
    <row r="63" spans="1:24" ht="31.2" x14ac:dyDescent="0.25">
      <c r="A63" s="30" t="s">
        <v>36</v>
      </c>
      <c r="B63" s="27" t="s">
        <v>37</v>
      </c>
      <c r="C63" s="29">
        <f>'Исходные данные'!C29</f>
        <v>0</v>
      </c>
      <c r="D63" s="28">
        <f t="shared" si="2"/>
        <v>0</v>
      </c>
      <c r="E63" s="28">
        <f t="shared" si="3"/>
        <v>0</v>
      </c>
      <c r="F63" s="27">
        <v>0.95199999999999996</v>
      </c>
      <c r="G63" s="26">
        <v>18.015000000000001</v>
      </c>
      <c r="H63" s="25">
        <v>0.78700000000000003</v>
      </c>
      <c r="I63" s="24">
        <v>647.14</v>
      </c>
      <c r="J63" s="23">
        <v>22.064</v>
      </c>
      <c r="K63" s="22">
        <v>373.15</v>
      </c>
      <c r="L63" s="19"/>
      <c r="M63" s="18">
        <f t="shared" si="9"/>
        <v>0</v>
      </c>
      <c r="N63" s="19"/>
      <c r="O63" s="16">
        <f t="shared" si="4"/>
        <v>0</v>
      </c>
      <c r="P63" s="19"/>
      <c r="Q63" s="16">
        <f t="shared" si="5"/>
        <v>0</v>
      </c>
      <c r="R63" s="31"/>
      <c r="S63" s="16">
        <f t="shared" si="6"/>
        <v>0</v>
      </c>
      <c r="U63" s="14">
        <f t="shared" si="7"/>
        <v>0</v>
      </c>
      <c r="X63" s="14">
        <f t="shared" si="8"/>
        <v>0</v>
      </c>
    </row>
    <row r="64" spans="1:24" ht="15.6" x14ac:dyDescent="0.25">
      <c r="A64" s="30" t="s">
        <v>38</v>
      </c>
      <c r="B64" s="27" t="s">
        <v>39</v>
      </c>
      <c r="C64" s="29">
        <f>'Исходные данные'!C30</f>
        <v>0</v>
      </c>
      <c r="D64" s="28">
        <f t="shared" si="2"/>
        <v>0</v>
      </c>
      <c r="E64" s="28">
        <f t="shared" si="3"/>
        <v>0</v>
      </c>
      <c r="F64" s="27">
        <v>0.98899999999999999</v>
      </c>
      <c r="G64" s="26">
        <v>17.030999999999999</v>
      </c>
      <c r="H64" s="25">
        <v>0.71599999999999997</v>
      </c>
      <c r="I64" s="24">
        <v>405.5</v>
      </c>
      <c r="J64" s="23">
        <v>11.35</v>
      </c>
      <c r="K64" s="22">
        <v>239.75</v>
      </c>
      <c r="L64" s="19"/>
      <c r="M64" s="18">
        <f t="shared" si="9"/>
        <v>0</v>
      </c>
      <c r="N64" s="19"/>
      <c r="O64" s="16">
        <f t="shared" si="4"/>
        <v>0</v>
      </c>
      <c r="P64" s="19"/>
      <c r="Q64" s="16">
        <f t="shared" si="5"/>
        <v>0</v>
      </c>
      <c r="R64" s="31"/>
      <c r="S64" s="16">
        <f t="shared" si="6"/>
        <v>0</v>
      </c>
      <c r="U64" s="14">
        <f t="shared" si="7"/>
        <v>0</v>
      </c>
      <c r="X64" s="14">
        <f t="shared" si="8"/>
        <v>0</v>
      </c>
    </row>
    <row r="65" spans="1:24" ht="31.2" x14ac:dyDescent="0.25">
      <c r="A65" s="30" t="s">
        <v>40</v>
      </c>
      <c r="B65" s="27" t="s">
        <v>41</v>
      </c>
      <c r="C65" s="29">
        <f>'Исходные данные'!C31</f>
        <v>0</v>
      </c>
      <c r="D65" s="28">
        <f t="shared" si="2"/>
        <v>0</v>
      </c>
      <c r="E65" s="28">
        <f t="shared" si="3"/>
        <v>0</v>
      </c>
      <c r="F65" s="27">
        <v>0.89200000000000002</v>
      </c>
      <c r="G65" s="26">
        <v>34.042000000000002</v>
      </c>
      <c r="H65" s="25">
        <v>1.587</v>
      </c>
      <c r="I65" s="24">
        <v>512.64</v>
      </c>
      <c r="J65" s="23">
        <v>8.0920000000000005</v>
      </c>
      <c r="K65" s="22">
        <v>337.85</v>
      </c>
      <c r="L65" s="19"/>
      <c r="M65" s="18">
        <f t="shared" si="9"/>
        <v>0</v>
      </c>
      <c r="N65" s="19"/>
      <c r="O65" s="16">
        <f t="shared" si="4"/>
        <v>0</v>
      </c>
      <c r="P65" s="19"/>
      <c r="Q65" s="16">
        <f t="shared" si="5"/>
        <v>0</v>
      </c>
      <c r="R65" s="31"/>
      <c r="S65" s="16">
        <f t="shared" si="6"/>
        <v>0</v>
      </c>
      <c r="U65" s="14">
        <f t="shared" si="7"/>
        <v>0</v>
      </c>
      <c r="X65" s="14">
        <f t="shared" si="8"/>
        <v>0</v>
      </c>
    </row>
    <row r="66" spans="1:24" ht="31.2" x14ac:dyDescent="0.25">
      <c r="A66" s="30" t="s">
        <v>42</v>
      </c>
      <c r="B66" s="27" t="s">
        <v>43</v>
      </c>
      <c r="C66" s="29">
        <f>'Исходные данные'!C32</f>
        <v>0</v>
      </c>
      <c r="D66" s="28">
        <f t="shared" si="2"/>
        <v>0</v>
      </c>
      <c r="E66" s="28">
        <f t="shared" si="3"/>
        <v>0</v>
      </c>
      <c r="F66" s="27">
        <v>0.99</v>
      </c>
      <c r="G66" s="26">
        <v>34.082000000000001</v>
      </c>
      <c r="H66" s="25">
        <v>1.4311</v>
      </c>
      <c r="I66" s="24">
        <v>373.2</v>
      </c>
      <c r="J66" s="23">
        <v>8.94</v>
      </c>
      <c r="K66" s="22">
        <v>212.85</v>
      </c>
      <c r="L66" s="19"/>
      <c r="M66" s="18">
        <f t="shared" si="9"/>
        <v>0</v>
      </c>
      <c r="N66" s="19"/>
      <c r="O66" s="16">
        <f t="shared" si="4"/>
        <v>0</v>
      </c>
      <c r="P66" s="19"/>
      <c r="Q66" s="16">
        <f t="shared" si="5"/>
        <v>0</v>
      </c>
      <c r="R66" s="31"/>
      <c r="S66" s="16">
        <f t="shared" si="6"/>
        <v>0</v>
      </c>
      <c r="U66" s="14">
        <f t="shared" si="7"/>
        <v>0</v>
      </c>
      <c r="X66" s="14">
        <f t="shared" si="8"/>
        <v>0</v>
      </c>
    </row>
    <row r="67" spans="1:24" ht="46.8" x14ac:dyDescent="0.25">
      <c r="A67" s="30" t="s">
        <v>44</v>
      </c>
      <c r="B67" s="27" t="s">
        <v>45</v>
      </c>
      <c r="C67" s="29">
        <f>'Исходные данные'!C33</f>
        <v>0</v>
      </c>
      <c r="D67" s="28">
        <f t="shared" si="2"/>
        <v>0</v>
      </c>
      <c r="E67" s="28">
        <f t="shared" si="3"/>
        <v>0</v>
      </c>
      <c r="F67" s="27">
        <v>0.97799999999999998</v>
      </c>
      <c r="G67" s="26">
        <v>48.109000000000002</v>
      </c>
      <c r="H67" s="25">
        <v>2.0449999999999999</v>
      </c>
      <c r="I67" s="24">
        <v>470</v>
      </c>
      <c r="J67" s="23">
        <v>7.23</v>
      </c>
      <c r="K67" s="22">
        <v>279.10000000000002</v>
      </c>
      <c r="L67" s="19"/>
      <c r="M67" s="18">
        <f t="shared" si="9"/>
        <v>0</v>
      </c>
      <c r="N67" s="19"/>
      <c r="O67" s="16">
        <f t="shared" si="4"/>
        <v>0</v>
      </c>
      <c r="P67" s="19"/>
      <c r="Q67" s="16">
        <f t="shared" si="5"/>
        <v>0</v>
      </c>
      <c r="R67" s="31"/>
      <c r="S67" s="16">
        <f t="shared" si="6"/>
        <v>0</v>
      </c>
      <c r="U67" s="14">
        <f t="shared" si="7"/>
        <v>0</v>
      </c>
      <c r="X67" s="14">
        <f t="shared" si="8"/>
        <v>0</v>
      </c>
    </row>
    <row r="68" spans="1:24" ht="31.2" x14ac:dyDescent="0.25">
      <c r="A68" s="30" t="s">
        <v>46</v>
      </c>
      <c r="B68" s="27" t="s">
        <v>47</v>
      </c>
      <c r="C68" s="29">
        <f>'Исходные данные'!C34</f>
        <v>0</v>
      </c>
      <c r="D68" s="28">
        <f t="shared" si="2"/>
        <v>0</v>
      </c>
      <c r="E68" s="28">
        <f t="shared" si="3"/>
        <v>0</v>
      </c>
      <c r="F68" s="27">
        <v>0.98</v>
      </c>
      <c r="G68" s="26">
        <v>64.064999999999998</v>
      </c>
      <c r="H68" s="25">
        <v>2.718</v>
      </c>
      <c r="I68" s="24">
        <v>430.8</v>
      </c>
      <c r="J68" s="23">
        <v>7.8840000000000003</v>
      </c>
      <c r="K68" s="22">
        <v>263.14999999999998</v>
      </c>
      <c r="L68" s="19"/>
      <c r="M68" s="18">
        <f t="shared" si="9"/>
        <v>0</v>
      </c>
      <c r="N68" s="19"/>
      <c r="O68" s="16">
        <f t="shared" si="4"/>
        <v>0</v>
      </c>
      <c r="P68" s="19"/>
      <c r="Q68" s="16">
        <f t="shared" si="5"/>
        <v>0</v>
      </c>
      <c r="R68" s="31"/>
      <c r="S68" s="16">
        <f t="shared" si="6"/>
        <v>0</v>
      </c>
      <c r="U68" s="14">
        <f t="shared" si="7"/>
        <v>0</v>
      </c>
      <c r="X68" s="14">
        <f t="shared" si="8"/>
        <v>0</v>
      </c>
    </row>
    <row r="69" spans="1:24" ht="15.6" x14ac:dyDescent="0.25">
      <c r="A69" s="30" t="s">
        <v>48</v>
      </c>
      <c r="B69" s="27" t="s">
        <v>49</v>
      </c>
      <c r="C69" s="29">
        <f>'Исходные данные'!C35</f>
        <v>1.0000000000000001E-5</v>
      </c>
      <c r="D69" s="28">
        <f t="shared" si="2"/>
        <v>1.0000000000000001E-7</v>
      </c>
      <c r="E69" s="28">
        <f t="shared" si="3"/>
        <v>9.9735240423346746E-8</v>
      </c>
      <c r="F69" s="27">
        <v>1.0004999999999999</v>
      </c>
      <c r="G69" s="26">
        <v>4.0030000000000001</v>
      </c>
      <c r="H69" s="25">
        <v>0.1663</v>
      </c>
      <c r="I69" s="24">
        <v>5.19</v>
      </c>
      <c r="J69" s="23">
        <v>0.22700000000000001</v>
      </c>
      <c r="K69" s="22">
        <v>4.21</v>
      </c>
      <c r="L69" s="19"/>
      <c r="M69" s="18">
        <f t="shared" si="9"/>
        <v>5.1900000000000013E-7</v>
      </c>
      <c r="N69" s="19"/>
      <c r="O69" s="16">
        <f t="shared" si="4"/>
        <v>2.2700000000000001E-8</v>
      </c>
      <c r="P69" s="19"/>
      <c r="Q69" s="16">
        <f t="shared" si="5"/>
        <v>4.0030000000000006E-7</v>
      </c>
      <c r="R69" s="31"/>
      <c r="S69" s="16">
        <f t="shared" si="6"/>
        <v>9.9950024987506267E-8</v>
      </c>
      <c r="U69" s="14">
        <f t="shared" si="7"/>
        <v>1.6630000000000001E-8</v>
      </c>
      <c r="X69" s="14">
        <f t="shared" si="8"/>
        <v>9.9685397724484505E-8</v>
      </c>
    </row>
    <row r="70" spans="1:24" ht="15.6" x14ac:dyDescent="0.25">
      <c r="A70" s="30" t="s">
        <v>50</v>
      </c>
      <c r="B70" s="27" t="s">
        <v>51</v>
      </c>
      <c r="C70" s="29">
        <f>'Исходные данные'!C36</f>
        <v>0</v>
      </c>
      <c r="D70" s="28">
        <f t="shared" si="2"/>
        <v>0</v>
      </c>
      <c r="E70" s="28">
        <f t="shared" si="3"/>
        <v>0</v>
      </c>
      <c r="F70" s="27">
        <v>1.0004999999999999</v>
      </c>
      <c r="G70" s="26">
        <v>20.18</v>
      </c>
      <c r="H70" s="25">
        <v>0.83850000000000002</v>
      </c>
      <c r="I70" s="24">
        <v>44.4</v>
      </c>
      <c r="J70" s="23">
        <v>2.76</v>
      </c>
      <c r="K70" s="22">
        <v>27.09</v>
      </c>
      <c r="L70" s="19"/>
      <c r="M70" s="18">
        <f t="shared" si="9"/>
        <v>0</v>
      </c>
      <c r="N70" s="19"/>
      <c r="O70" s="16">
        <f t="shared" si="4"/>
        <v>0</v>
      </c>
      <c r="P70" s="19"/>
      <c r="Q70" s="16">
        <f t="shared" si="5"/>
        <v>0</v>
      </c>
      <c r="R70" s="31"/>
      <c r="S70" s="16">
        <f t="shared" si="6"/>
        <v>0</v>
      </c>
      <c r="U70" s="14">
        <f t="shared" si="7"/>
        <v>0</v>
      </c>
      <c r="X70" s="14">
        <f t="shared" si="8"/>
        <v>0</v>
      </c>
    </row>
    <row r="71" spans="1:24" ht="15.6" x14ac:dyDescent="0.25">
      <c r="A71" s="30" t="s">
        <v>52</v>
      </c>
      <c r="B71" s="27" t="s">
        <v>53</v>
      </c>
      <c r="C71" s="29">
        <f>'Исходные данные'!C37</f>
        <v>0</v>
      </c>
      <c r="D71" s="28">
        <f t="shared" si="2"/>
        <v>0</v>
      </c>
      <c r="E71" s="28">
        <f t="shared" si="3"/>
        <v>0</v>
      </c>
      <c r="F71" s="27">
        <v>0.99929999999999997</v>
      </c>
      <c r="G71" s="26">
        <v>39.948</v>
      </c>
      <c r="H71" s="25">
        <v>1.6617999999999999</v>
      </c>
      <c r="I71" s="24">
        <v>150.65</v>
      </c>
      <c r="J71" s="23">
        <v>4.8659999999999997</v>
      </c>
      <c r="K71" s="22">
        <v>87.29</v>
      </c>
      <c r="L71" s="19"/>
      <c r="M71" s="18">
        <f t="shared" si="9"/>
        <v>0</v>
      </c>
      <c r="N71" s="19"/>
      <c r="O71" s="16">
        <f t="shared" si="4"/>
        <v>0</v>
      </c>
      <c r="P71" s="19"/>
      <c r="Q71" s="16">
        <f t="shared" si="5"/>
        <v>0</v>
      </c>
      <c r="R71" s="31"/>
      <c r="S71" s="16">
        <f t="shared" si="6"/>
        <v>0</v>
      </c>
      <c r="U71" s="14">
        <f t="shared" si="7"/>
        <v>0</v>
      </c>
      <c r="X71" s="14">
        <f t="shared" si="8"/>
        <v>0</v>
      </c>
    </row>
    <row r="72" spans="1:24" ht="62.4" x14ac:dyDescent="0.25">
      <c r="A72" s="30" t="s">
        <v>54</v>
      </c>
      <c r="B72" s="27" t="s">
        <v>55</v>
      </c>
      <c r="C72" s="29">
        <f>'Исходные данные'!C38</f>
        <v>0</v>
      </c>
      <c r="D72" s="28">
        <f t="shared" si="2"/>
        <v>0</v>
      </c>
      <c r="E72" s="28">
        <f t="shared" si="3"/>
        <v>0</v>
      </c>
      <c r="F72" s="27">
        <v>0.99960000000000004</v>
      </c>
      <c r="G72" s="26">
        <v>28.01</v>
      </c>
      <c r="H72" s="25">
        <v>1.1649</v>
      </c>
      <c r="I72" s="24">
        <v>132.85</v>
      </c>
      <c r="J72" s="23">
        <v>3.4940000000000002</v>
      </c>
      <c r="K72" s="22">
        <v>81.650000000000006</v>
      </c>
      <c r="L72" s="19"/>
      <c r="M72" s="18">
        <f t="shared" si="9"/>
        <v>0</v>
      </c>
      <c r="N72" s="19"/>
      <c r="O72" s="16">
        <f t="shared" si="4"/>
        <v>0</v>
      </c>
      <c r="P72" s="19"/>
      <c r="Q72" s="16">
        <f t="shared" si="5"/>
        <v>0</v>
      </c>
      <c r="R72" s="31"/>
      <c r="S72" s="16">
        <f t="shared" si="6"/>
        <v>0</v>
      </c>
      <c r="U72" s="14">
        <f t="shared" si="7"/>
        <v>0</v>
      </c>
      <c r="W72" s="13" t="s">
        <v>360</v>
      </c>
      <c r="X72" s="14">
        <f t="shared" si="8"/>
        <v>0</v>
      </c>
    </row>
    <row r="73" spans="1:24" ht="15.6" x14ac:dyDescent="0.25">
      <c r="A73" s="30" t="s">
        <v>56</v>
      </c>
      <c r="B73" s="27" t="s">
        <v>57</v>
      </c>
      <c r="C73" s="29">
        <f>'Исходные данные'!C39</f>
        <v>0.193909</v>
      </c>
      <c r="D73" s="28">
        <f>C73/100</f>
        <v>1.9390900000000001E-3</v>
      </c>
      <c r="E73" s="28">
        <f t="shared" si="3"/>
        <v>1.9355037026726383E-3</v>
      </c>
      <c r="F73" s="27">
        <v>0.99970000000000003</v>
      </c>
      <c r="G73" s="26">
        <v>28.013999999999999</v>
      </c>
      <c r="H73" s="25">
        <v>1.1649</v>
      </c>
      <c r="I73" s="24">
        <v>126.2</v>
      </c>
      <c r="J73" s="23">
        <v>3.39</v>
      </c>
      <c r="K73" s="22">
        <v>77.349999999999994</v>
      </c>
      <c r="L73" s="19"/>
      <c r="M73" s="18">
        <f t="shared" si="9"/>
        <v>0.24471315800000001</v>
      </c>
      <c r="N73" s="19"/>
      <c r="O73" s="16">
        <f t="shared" si="4"/>
        <v>6.5735151000000007E-3</v>
      </c>
      <c r="P73" s="19"/>
      <c r="Q73" s="16">
        <f t="shared" si="5"/>
        <v>5.4321667259999998E-2</v>
      </c>
      <c r="R73" s="31"/>
      <c r="S73" s="16">
        <f t="shared" si="6"/>
        <v>1.9396719015704711E-3</v>
      </c>
      <c r="U73" s="14">
        <f t="shared" si="7"/>
        <v>2.2588459410000004E-3</v>
      </c>
      <c r="X73" s="14">
        <f t="shared" si="8"/>
        <v>1.9360845280310475E-3</v>
      </c>
    </row>
    <row r="74" spans="1:24" ht="15.6" x14ac:dyDescent="0.25">
      <c r="A74" s="30" t="s">
        <v>58</v>
      </c>
      <c r="B74" s="27"/>
      <c r="C74" s="29">
        <f>'Исходные данные'!C40</f>
        <v>0</v>
      </c>
      <c r="D74" s="28">
        <f t="shared" si="2"/>
        <v>0</v>
      </c>
      <c r="E74" s="28">
        <f t="shared" si="3"/>
        <v>0</v>
      </c>
      <c r="F74" s="27">
        <v>0.99963000000000002</v>
      </c>
      <c r="G74" s="26">
        <v>28.963000000000001</v>
      </c>
      <c r="H74" s="25">
        <v>1.2044999999999999</v>
      </c>
      <c r="I74" s="24">
        <v>132.5</v>
      </c>
      <c r="J74" s="23">
        <v>3.766</v>
      </c>
      <c r="K74" s="22">
        <v>78.849999999999994</v>
      </c>
      <c r="L74" s="19"/>
      <c r="M74" s="18">
        <f t="shared" si="9"/>
        <v>0</v>
      </c>
      <c r="N74" s="19"/>
      <c r="O74" s="16">
        <f t="shared" si="4"/>
        <v>0</v>
      </c>
      <c r="P74" s="19"/>
      <c r="Q74" s="16">
        <f t="shared" si="5"/>
        <v>0</v>
      </c>
      <c r="S74" s="16">
        <f t="shared" si="6"/>
        <v>0</v>
      </c>
      <c r="U74" s="14">
        <f t="shared" si="7"/>
        <v>0</v>
      </c>
      <c r="X74" s="14">
        <f t="shared" si="8"/>
        <v>0</v>
      </c>
    </row>
    <row r="75" spans="1:24" ht="31.2" x14ac:dyDescent="0.25">
      <c r="A75" s="30" t="s">
        <v>59</v>
      </c>
      <c r="B75" s="27" t="s">
        <v>60</v>
      </c>
      <c r="C75" s="29">
        <f>'Исходные данные'!C41</f>
        <v>1.0000000000000001E-5</v>
      </c>
      <c r="D75" s="28">
        <f t="shared" si="2"/>
        <v>1.0000000000000001E-7</v>
      </c>
      <c r="E75" s="28">
        <f t="shared" si="3"/>
        <v>9.985500654814211E-8</v>
      </c>
      <c r="F75" s="27">
        <v>0.99929999999999997</v>
      </c>
      <c r="G75" s="26">
        <v>31.998999999999999</v>
      </c>
      <c r="H75" s="25">
        <v>1.3311999999999999</v>
      </c>
      <c r="I75" s="24">
        <v>154.58000000000001</v>
      </c>
      <c r="J75" s="23">
        <v>5.0430000000000001</v>
      </c>
      <c r="K75" s="22">
        <v>90.19</v>
      </c>
      <c r="L75" s="19"/>
      <c r="M75" s="18">
        <f t="shared" si="9"/>
        <v>1.5458000000000003E-5</v>
      </c>
      <c r="N75" s="19"/>
      <c r="O75" s="16">
        <f t="shared" si="4"/>
        <v>5.0430000000000009E-7</v>
      </c>
      <c r="P75" s="19"/>
      <c r="Q75" s="16">
        <f t="shared" si="5"/>
        <v>3.1999000000000001E-6</v>
      </c>
      <c r="S75" s="16">
        <f t="shared" si="6"/>
        <v>1.0007004903432404E-7</v>
      </c>
      <c r="U75" s="14">
        <f>D75*H75</f>
        <v>1.3312000000000002E-7</v>
      </c>
      <c r="X75" s="14">
        <f t="shared" si="8"/>
        <v>9.9924954015953278E-8</v>
      </c>
    </row>
    <row r="76" spans="1:24" ht="62.4" x14ac:dyDescent="0.25">
      <c r="A76" s="30" t="s">
        <v>61</v>
      </c>
      <c r="B76" s="27" t="s">
        <v>62</v>
      </c>
      <c r="C76" s="29">
        <f>'Исходные данные'!C42</f>
        <v>0.84052000000000004</v>
      </c>
      <c r="D76" s="28">
        <f t="shared" si="2"/>
        <v>8.4051999999999998E-3</v>
      </c>
      <c r="E76" s="28">
        <f t="shared" si="3"/>
        <v>8.4318265821626322E-3</v>
      </c>
      <c r="F76" s="27">
        <v>0.99470000000000003</v>
      </c>
      <c r="G76" s="26">
        <v>44.01</v>
      </c>
      <c r="H76" s="25">
        <v>1.8392999999999999</v>
      </c>
      <c r="I76" s="24">
        <v>304.2</v>
      </c>
      <c r="J76" s="23">
        <v>7.3860000000000001</v>
      </c>
      <c r="K76" s="22">
        <v>194.65</v>
      </c>
      <c r="L76" s="19"/>
      <c r="M76" s="18">
        <f t="shared" si="9"/>
        <v>2.5568618399999998</v>
      </c>
      <c r="N76" s="19"/>
      <c r="O76" s="16">
        <f t="shared" si="4"/>
        <v>6.2080807199999997E-2</v>
      </c>
      <c r="P76" s="19"/>
      <c r="Q76" s="16">
        <f t="shared" si="5"/>
        <v>0.36991285199999996</v>
      </c>
      <c r="S76" s="16">
        <f t="shared" si="6"/>
        <v>8.4499849200764046E-3</v>
      </c>
      <c r="U76" s="14">
        <f>D76*H76</f>
        <v>1.545968436E-2</v>
      </c>
      <c r="X76" s="14">
        <f>E76/F76</f>
        <v>8.4767533750503988E-3</v>
      </c>
    </row>
    <row r="77" spans="1:24" ht="15.6" x14ac:dyDescent="0.25">
      <c r="A77" s="19"/>
      <c r="B77" s="19"/>
      <c r="C77" s="19"/>
      <c r="D77" s="21">
        <f>SUM(D47:D76)</f>
        <v>0.99931596999999983</v>
      </c>
      <c r="E77" s="20">
        <f>SUM(E47:E76)</f>
        <v>1</v>
      </c>
      <c r="G77" s="19"/>
      <c r="H77" s="19"/>
      <c r="I77" s="19"/>
      <c r="J77" s="19"/>
      <c r="K77" s="19"/>
      <c r="L77" s="17" t="s">
        <v>84</v>
      </c>
      <c r="M77" s="18">
        <f>SUM(M47:M76)</f>
        <v>201.96675514020004</v>
      </c>
      <c r="N77" s="17" t="s">
        <v>83</v>
      </c>
      <c r="O77" s="16">
        <f>SUM(O47:O76)</f>
        <v>4.6125251138800003</v>
      </c>
      <c r="P77" s="17" t="s">
        <v>82</v>
      </c>
      <c r="Q77" s="16">
        <f>SUM(Q47:Q76)</f>
        <v>17.876479258460002</v>
      </c>
      <c r="S77" s="15">
        <f>SUM(S47:S76)</f>
        <v>1.0021535473644805</v>
      </c>
      <c r="U77" s="14">
        <f>SUM(U47:U76)</f>
        <v>0.74644025039100015</v>
      </c>
      <c r="X77" s="14">
        <f>SUM(X47:X76)</f>
        <v>1.0028602259781179</v>
      </c>
    </row>
  </sheetData>
  <mergeCells count="8">
    <mergeCell ref="K1:O1"/>
    <mergeCell ref="J2:K2"/>
    <mergeCell ref="J3:O3"/>
    <mergeCell ref="B1:F1"/>
    <mergeCell ref="A2:B2"/>
    <mergeCell ref="G2:I2"/>
    <mergeCell ref="A3:F3"/>
    <mergeCell ref="G3:I3"/>
  </mergeCells>
  <printOptions horizontalCentered="1"/>
  <pageMargins left="0.39374999999999999" right="0.196527777777778" top="0.39374999999999999" bottom="0.196527777777778" header="0.51180555555555496" footer="0.51180555555555496"/>
  <pageSetup paperSize="9" firstPageNumber="0" orientation="portrait" r:id="rId1"/>
  <rowBreaks count="1" manualBreakCount="1">
    <brk id="37" max="16383" man="1"/>
  </rowBreaks>
  <colBreaks count="2" manualBreakCount="2">
    <brk id="6" max="1048575" man="1"/>
    <brk id="1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/>
  <dimension ref="A1:X77"/>
  <sheetViews>
    <sheetView zoomScale="70" zoomScaleNormal="70" workbookViewId="0">
      <selection activeCell="F4" sqref="F4"/>
    </sheetView>
  </sheetViews>
  <sheetFormatPr defaultColWidth="9.109375" defaultRowHeight="13.2" x14ac:dyDescent="0.25"/>
  <cols>
    <col min="1" max="1" width="9.44140625" style="13" customWidth="1"/>
    <col min="2" max="2" width="24.44140625" style="13" customWidth="1"/>
    <col min="3" max="3" width="17.5546875" style="13" customWidth="1"/>
    <col min="4" max="4" width="22.5546875" style="13" customWidth="1"/>
    <col min="5" max="5" width="15.6640625" style="13" customWidth="1"/>
    <col min="6" max="10" width="9.109375" style="13"/>
    <col min="11" max="11" width="24" style="13" customWidth="1"/>
    <col min="12" max="12" width="25" style="13" customWidth="1"/>
    <col min="13" max="14" width="9.109375" style="13"/>
    <col min="15" max="15" width="9.109375" style="13" customWidth="1"/>
    <col min="16" max="25" width="9.109375" style="13"/>
    <col min="26" max="26" width="11.88671875" style="13" customWidth="1"/>
    <col min="27" max="16384" width="9.109375" style="13"/>
  </cols>
  <sheetData>
    <row r="1" spans="1:15" ht="29.4" customHeight="1" x14ac:dyDescent="0.35">
      <c r="B1" s="238" t="s">
        <v>160</v>
      </c>
      <c r="C1" s="238"/>
      <c r="D1" s="238"/>
      <c r="E1" s="238"/>
      <c r="F1" s="238"/>
      <c r="K1" s="238" t="s">
        <v>160</v>
      </c>
      <c r="L1" s="238"/>
      <c r="M1" s="238"/>
      <c r="N1" s="238"/>
      <c r="O1" s="238"/>
    </row>
    <row r="2" spans="1:15" ht="51" customHeight="1" x14ac:dyDescent="0.25">
      <c r="A2" s="239" t="s">
        <v>159</v>
      </c>
      <c r="B2" s="239"/>
      <c r="C2" s="71" t="s">
        <v>158</v>
      </c>
      <c r="D2" s="71" t="s">
        <v>157</v>
      </c>
      <c r="E2" s="202" t="s">
        <v>2</v>
      </c>
      <c r="F2" s="67" t="s">
        <v>156</v>
      </c>
      <c r="G2" s="241"/>
      <c r="H2" s="241"/>
      <c r="I2" s="241"/>
      <c r="J2" s="239" t="s">
        <v>159</v>
      </c>
      <c r="K2" s="239"/>
      <c r="L2" s="71" t="s">
        <v>158</v>
      </c>
      <c r="M2" s="71" t="s">
        <v>157</v>
      </c>
      <c r="N2" s="202" t="s">
        <v>2</v>
      </c>
      <c r="O2" s="67" t="s">
        <v>156</v>
      </c>
    </row>
    <row r="3" spans="1:15" ht="51" customHeight="1" x14ac:dyDescent="0.25">
      <c r="A3" s="240"/>
      <c r="B3" s="240"/>
      <c r="C3" s="240"/>
      <c r="D3" s="240"/>
      <c r="E3" s="240"/>
      <c r="F3" s="240"/>
      <c r="G3" s="242"/>
      <c r="H3" s="242"/>
      <c r="I3" s="242"/>
      <c r="J3" s="240"/>
      <c r="K3" s="240"/>
      <c r="L3" s="240"/>
      <c r="M3" s="240"/>
      <c r="N3" s="240"/>
      <c r="O3" s="240"/>
    </row>
    <row r="4" spans="1:15" ht="33.6" customHeight="1" x14ac:dyDescent="0.3">
      <c r="A4" s="43">
        <v>1</v>
      </c>
      <c r="B4" s="42" t="s">
        <v>155</v>
      </c>
      <c r="C4" s="41" t="s">
        <v>154</v>
      </c>
      <c r="D4" s="41" t="s">
        <v>153</v>
      </c>
      <c r="E4" s="202" t="s">
        <v>146</v>
      </c>
      <c r="F4" s="68">
        <f>'Тепл баланс'!F6</f>
        <v>7.4</v>
      </c>
      <c r="G4" s="64"/>
      <c r="H4" s="31"/>
      <c r="I4" s="63"/>
      <c r="J4" s="43">
        <v>1</v>
      </c>
      <c r="K4" s="42" t="s">
        <v>155</v>
      </c>
      <c r="L4" s="41" t="s">
        <v>154</v>
      </c>
      <c r="M4" s="41" t="s">
        <v>153</v>
      </c>
      <c r="N4" s="202" t="s">
        <v>146</v>
      </c>
      <c r="O4" s="68">
        <f>'Тепл баланс'!F7</f>
        <v>1.2</v>
      </c>
    </row>
    <row r="5" spans="1:15" ht="31.2" x14ac:dyDescent="0.3">
      <c r="A5" s="43">
        <f t="shared" ref="A5:A37" si="0">A4+1</f>
        <v>2</v>
      </c>
      <c r="B5" s="70" t="s">
        <v>63</v>
      </c>
      <c r="C5" s="41" t="s">
        <v>152</v>
      </c>
      <c r="D5" s="69" t="s">
        <v>151</v>
      </c>
      <c r="E5" s="202" t="s">
        <v>146</v>
      </c>
      <c r="F5" s="68">
        <f>'Тепл баланс'!F9</f>
        <v>0</v>
      </c>
      <c r="G5" s="64"/>
      <c r="H5" s="31"/>
      <c r="I5" s="63"/>
      <c r="J5" s="43">
        <f t="shared" ref="J5:J37" si="1">J4+1</f>
        <v>2</v>
      </c>
      <c r="K5" s="70" t="s">
        <v>324</v>
      </c>
      <c r="L5" s="41" t="s">
        <v>152</v>
      </c>
      <c r="M5" s="69" t="s">
        <v>151</v>
      </c>
      <c r="N5" s="202" t="s">
        <v>146</v>
      </c>
      <c r="O5" s="68">
        <f>'Тепл баланс'!F11</f>
        <v>5</v>
      </c>
    </row>
    <row r="6" spans="1:15" ht="46.8" x14ac:dyDescent="0.3">
      <c r="A6" s="43">
        <f t="shared" si="0"/>
        <v>3</v>
      </c>
      <c r="B6" s="66" t="s">
        <v>150</v>
      </c>
      <c r="C6" s="41" t="s">
        <v>149</v>
      </c>
      <c r="D6" s="41" t="s">
        <v>99</v>
      </c>
      <c r="E6" s="67" t="s">
        <v>146</v>
      </c>
      <c r="F6" s="202"/>
      <c r="G6" s="64"/>
      <c r="H6" s="31"/>
      <c r="I6" s="63"/>
      <c r="J6" s="43">
        <f t="shared" si="1"/>
        <v>3</v>
      </c>
      <c r="K6" s="66" t="s">
        <v>150</v>
      </c>
      <c r="L6" s="41" t="s">
        <v>149</v>
      </c>
      <c r="M6" s="41" t="s">
        <v>99</v>
      </c>
      <c r="N6" s="67" t="s">
        <v>146</v>
      </c>
      <c r="O6" s="202"/>
    </row>
    <row r="7" spans="1:15" ht="46.8" x14ac:dyDescent="0.3">
      <c r="A7" s="43">
        <f t="shared" si="0"/>
        <v>4</v>
      </c>
      <c r="B7" s="66" t="s">
        <v>148</v>
      </c>
      <c r="C7" s="41" t="s">
        <v>147</v>
      </c>
      <c r="D7" s="41" t="s">
        <v>141</v>
      </c>
      <c r="E7" s="67" t="s">
        <v>146</v>
      </c>
      <c r="F7" s="202"/>
      <c r="G7" s="64"/>
      <c r="H7" s="31"/>
      <c r="I7" s="63"/>
      <c r="J7" s="43">
        <f t="shared" si="1"/>
        <v>4</v>
      </c>
      <c r="K7" s="66" t="s">
        <v>148</v>
      </c>
      <c r="L7" s="41" t="s">
        <v>147</v>
      </c>
      <c r="M7" s="41" t="s">
        <v>141</v>
      </c>
      <c r="N7" s="67" t="s">
        <v>146</v>
      </c>
      <c r="O7" s="202"/>
    </row>
    <row r="8" spans="1:15" ht="53.25" customHeight="1" x14ac:dyDescent="0.3">
      <c r="A8" s="43">
        <f t="shared" si="0"/>
        <v>5</v>
      </c>
      <c r="B8" s="66" t="s">
        <v>145</v>
      </c>
      <c r="C8" s="41" t="s">
        <v>144</v>
      </c>
      <c r="D8" s="41" t="s">
        <v>141</v>
      </c>
      <c r="F8" s="62">
        <f>U77</f>
        <v>0.74644025039100015</v>
      </c>
      <c r="G8" s="64"/>
      <c r="H8" s="31"/>
      <c r="I8" s="63"/>
      <c r="J8" s="43">
        <f t="shared" si="1"/>
        <v>5</v>
      </c>
      <c r="K8" s="66" t="s">
        <v>145</v>
      </c>
      <c r="L8" s="41" t="s">
        <v>144</v>
      </c>
      <c r="M8" s="41" t="s">
        <v>141</v>
      </c>
      <c r="O8" s="62">
        <f>U77</f>
        <v>0.74644025039100015</v>
      </c>
    </row>
    <row r="9" spans="1:15" ht="31.2" x14ac:dyDescent="0.3">
      <c r="A9" s="43">
        <f t="shared" si="0"/>
        <v>6</v>
      </c>
      <c r="B9" s="66" t="s">
        <v>143</v>
      </c>
      <c r="C9" s="41" t="s">
        <v>142</v>
      </c>
      <c r="D9" s="41" t="s">
        <v>141</v>
      </c>
      <c r="E9" s="50" t="s">
        <v>140</v>
      </c>
      <c r="F9" s="202">
        <f>ROUND(F8*(F4+0.101325)/0.1*(293.15/(273.15+F5))*1/F37,2)</f>
        <v>77.34</v>
      </c>
      <c r="G9" s="64"/>
      <c r="H9" s="31"/>
      <c r="I9" s="63"/>
      <c r="J9" s="43">
        <f t="shared" si="1"/>
        <v>6</v>
      </c>
      <c r="K9" s="66" t="s">
        <v>143</v>
      </c>
      <c r="L9" s="41" t="s">
        <v>142</v>
      </c>
      <c r="M9" s="41" t="s">
        <v>141</v>
      </c>
      <c r="N9" s="50" t="s">
        <v>140</v>
      </c>
      <c r="O9" s="202">
        <f>ROUND(O8*(O4+0.101325)/0.1*(293.15/(273.15+O5))*1/O37,2)</f>
        <v>10.71</v>
      </c>
    </row>
    <row r="10" spans="1:15" ht="26.4" customHeight="1" x14ac:dyDescent="0.35">
      <c r="A10" s="43">
        <f t="shared" si="0"/>
        <v>7</v>
      </c>
      <c r="B10" s="66"/>
      <c r="C10" s="41"/>
      <c r="D10" s="41"/>
      <c r="E10" s="51"/>
      <c r="F10" s="202"/>
      <c r="G10" s="64"/>
      <c r="H10" s="31"/>
      <c r="I10" s="63"/>
      <c r="J10" s="43">
        <f t="shared" si="1"/>
        <v>7</v>
      </c>
      <c r="K10" s="66"/>
      <c r="L10" s="41"/>
      <c r="M10" s="41"/>
      <c r="N10" s="51"/>
      <c r="O10" s="202"/>
    </row>
    <row r="11" spans="1:15" ht="37.200000000000003" customHeight="1" x14ac:dyDescent="0.3">
      <c r="A11" s="43">
        <f t="shared" si="0"/>
        <v>8</v>
      </c>
      <c r="B11" s="42"/>
      <c r="C11" s="41"/>
      <c r="D11" s="41"/>
      <c r="E11" s="65"/>
      <c r="F11" s="202"/>
      <c r="G11" s="64"/>
      <c r="H11" s="31"/>
      <c r="I11" s="63"/>
      <c r="J11" s="43">
        <f t="shared" si="1"/>
        <v>8</v>
      </c>
      <c r="K11" s="42"/>
      <c r="L11" s="41"/>
      <c r="M11" s="41"/>
      <c r="N11" s="65"/>
      <c r="O11" s="202"/>
    </row>
    <row r="12" spans="1:15" ht="45" customHeight="1" x14ac:dyDescent="0.3">
      <c r="A12" s="43">
        <f t="shared" si="0"/>
        <v>9</v>
      </c>
      <c r="B12" s="42" t="s">
        <v>139</v>
      </c>
      <c r="C12" s="41" t="s">
        <v>82</v>
      </c>
      <c r="D12" s="50" t="s">
        <v>138</v>
      </c>
      <c r="E12" s="61"/>
      <c r="F12" s="62">
        <f>Q77</f>
        <v>17.876479258460002</v>
      </c>
      <c r="G12" s="56"/>
      <c r="H12" s="31"/>
      <c r="I12" s="63"/>
      <c r="J12" s="43">
        <f t="shared" si="1"/>
        <v>9</v>
      </c>
      <c r="K12" s="42" t="s">
        <v>139</v>
      </c>
      <c r="L12" s="41" t="s">
        <v>82</v>
      </c>
      <c r="M12" s="50" t="s">
        <v>138</v>
      </c>
      <c r="N12" s="61"/>
      <c r="O12" s="62">
        <f>Q77</f>
        <v>17.876479258460002</v>
      </c>
    </row>
    <row r="13" spans="1:15" ht="51" customHeight="1" x14ac:dyDescent="0.3">
      <c r="A13" s="43">
        <f t="shared" si="0"/>
        <v>10</v>
      </c>
      <c r="B13" s="42" t="s">
        <v>103</v>
      </c>
      <c r="C13" s="41" t="s">
        <v>137</v>
      </c>
      <c r="D13" s="50" t="s">
        <v>99</v>
      </c>
      <c r="E13" s="61"/>
      <c r="F13" s="202">
        <f>ROUND(8.3143/F12,3)</f>
        <v>0.46500000000000002</v>
      </c>
      <c r="G13" s="64"/>
      <c r="H13" s="31"/>
      <c r="I13" s="63"/>
      <c r="J13" s="43">
        <f t="shared" si="1"/>
        <v>10</v>
      </c>
      <c r="K13" s="42" t="s">
        <v>103</v>
      </c>
      <c r="L13" s="41" t="s">
        <v>137</v>
      </c>
      <c r="M13" s="50" t="s">
        <v>99</v>
      </c>
      <c r="N13" s="61"/>
      <c r="O13" s="202">
        <f>ROUND(8.3143/O12,3)</f>
        <v>0.46500000000000002</v>
      </c>
    </row>
    <row r="14" spans="1:15" ht="51" customHeight="1" x14ac:dyDescent="0.3">
      <c r="A14" s="43">
        <f t="shared" si="0"/>
        <v>11</v>
      </c>
      <c r="B14" s="42" t="s">
        <v>136</v>
      </c>
      <c r="C14" s="41" t="s">
        <v>135</v>
      </c>
      <c r="D14" s="50" t="s">
        <v>99</v>
      </c>
      <c r="E14" s="61"/>
      <c r="F14" s="62">
        <f>O77</f>
        <v>4.6125251138800003</v>
      </c>
      <c r="G14" s="64"/>
      <c r="H14" s="31"/>
      <c r="I14" s="63"/>
      <c r="J14" s="43">
        <f t="shared" si="1"/>
        <v>11</v>
      </c>
      <c r="K14" s="42" t="s">
        <v>136</v>
      </c>
      <c r="L14" s="41" t="s">
        <v>135</v>
      </c>
      <c r="M14" s="50" t="s">
        <v>99</v>
      </c>
      <c r="N14" s="61"/>
      <c r="O14" s="62">
        <f>O77</f>
        <v>4.6125251138800003</v>
      </c>
    </row>
    <row r="15" spans="1:15" ht="52.5" customHeight="1" x14ac:dyDescent="0.25">
      <c r="A15" s="43">
        <f t="shared" si="0"/>
        <v>12</v>
      </c>
      <c r="B15" s="42" t="s">
        <v>134</v>
      </c>
      <c r="C15" s="41" t="s">
        <v>133</v>
      </c>
      <c r="D15" s="50" t="s">
        <v>99</v>
      </c>
      <c r="E15" s="61"/>
      <c r="F15" s="60">
        <f>M77</f>
        <v>201.96675514020004</v>
      </c>
      <c r="G15" s="59"/>
      <c r="H15" s="59"/>
      <c r="I15" s="31"/>
      <c r="J15" s="43">
        <f t="shared" si="1"/>
        <v>12</v>
      </c>
      <c r="K15" s="42" t="s">
        <v>134</v>
      </c>
      <c r="L15" s="41" t="s">
        <v>133</v>
      </c>
      <c r="M15" s="50" t="s">
        <v>99</v>
      </c>
      <c r="N15" s="61"/>
      <c r="O15" s="60">
        <f>M77</f>
        <v>201.96675514020004</v>
      </c>
    </row>
    <row r="16" spans="1:15" ht="48" customHeight="1" x14ac:dyDescent="0.25">
      <c r="A16" s="43">
        <f t="shared" si="0"/>
        <v>13</v>
      </c>
      <c r="B16" s="42" t="s">
        <v>103</v>
      </c>
      <c r="C16" s="41" t="s">
        <v>132</v>
      </c>
      <c r="D16" s="50" t="s">
        <v>99</v>
      </c>
      <c r="E16" s="39"/>
      <c r="F16" s="58">
        <f>ROUND((F4+0.101325)/F14,2)</f>
        <v>1.63</v>
      </c>
      <c r="G16" s="59"/>
      <c r="H16" s="59"/>
      <c r="I16" s="31"/>
      <c r="J16" s="43">
        <f t="shared" si="1"/>
        <v>13</v>
      </c>
      <c r="K16" s="42" t="s">
        <v>103</v>
      </c>
      <c r="L16" s="41" t="s">
        <v>132</v>
      </c>
      <c r="M16" s="50" t="s">
        <v>99</v>
      </c>
      <c r="N16" s="39"/>
      <c r="O16" s="58">
        <f>ROUND((O4+0.101325)/O14,2)</f>
        <v>0.28000000000000003</v>
      </c>
    </row>
    <row r="17" spans="1:15" ht="45" customHeight="1" x14ac:dyDescent="0.25">
      <c r="A17" s="43">
        <f t="shared" si="0"/>
        <v>14</v>
      </c>
      <c r="B17" s="42" t="s">
        <v>103</v>
      </c>
      <c r="C17" s="41" t="s">
        <v>131</v>
      </c>
      <c r="D17" s="50" t="s">
        <v>99</v>
      </c>
      <c r="E17" s="39"/>
      <c r="F17" s="45">
        <f>ROUND((273.15+F5)/F15,2)</f>
        <v>1.35</v>
      </c>
      <c r="G17" s="57"/>
      <c r="H17" s="56"/>
      <c r="I17" s="56"/>
      <c r="J17" s="43">
        <f t="shared" si="1"/>
        <v>14</v>
      </c>
      <c r="K17" s="42" t="s">
        <v>103</v>
      </c>
      <c r="L17" s="41" t="s">
        <v>131</v>
      </c>
      <c r="M17" s="50" t="s">
        <v>99</v>
      </c>
      <c r="N17" s="39"/>
      <c r="O17" s="45">
        <f>ROUND((273.15+O5)/O15,2)</f>
        <v>1.38</v>
      </c>
    </row>
    <row r="18" spans="1:15" ht="51" customHeight="1" x14ac:dyDescent="0.25">
      <c r="A18" s="43">
        <f t="shared" si="0"/>
        <v>15</v>
      </c>
      <c r="B18" s="42" t="s">
        <v>103</v>
      </c>
      <c r="C18" s="41" t="s">
        <v>130</v>
      </c>
      <c r="D18" s="50" t="s">
        <v>99</v>
      </c>
      <c r="E18" s="39"/>
      <c r="F18" s="45">
        <f>4.437-1.015*F17+0.591*F17^2</f>
        <v>4.1438475000000006</v>
      </c>
      <c r="G18" s="37"/>
      <c r="H18" s="37"/>
      <c r="I18" s="37"/>
      <c r="J18" s="43">
        <f t="shared" si="1"/>
        <v>15</v>
      </c>
      <c r="K18" s="42" t="s">
        <v>103</v>
      </c>
      <c r="L18" s="41" t="s">
        <v>130</v>
      </c>
      <c r="M18" s="50" t="s">
        <v>99</v>
      </c>
      <c r="N18" s="39"/>
      <c r="O18" s="45">
        <f>4.437-1.015*O17+0.591*O17^2</f>
        <v>4.1618004000000006</v>
      </c>
    </row>
    <row r="19" spans="1:15" ht="45" customHeight="1" x14ac:dyDescent="0.25">
      <c r="A19" s="43">
        <f t="shared" si="0"/>
        <v>16</v>
      </c>
      <c r="B19" s="42" t="s">
        <v>103</v>
      </c>
      <c r="C19" s="41" t="s">
        <v>129</v>
      </c>
      <c r="D19" s="203" t="s">
        <v>99</v>
      </c>
      <c r="E19" s="39"/>
      <c r="F19" s="45">
        <f>3.29-11.37/F17+10.9/F17^2</f>
        <v>0.84857338820301909</v>
      </c>
      <c r="G19" s="37"/>
      <c r="H19" s="37"/>
      <c r="I19" s="37"/>
      <c r="J19" s="43">
        <f t="shared" si="1"/>
        <v>16</v>
      </c>
      <c r="K19" s="42" t="s">
        <v>103</v>
      </c>
      <c r="L19" s="41" t="s">
        <v>129</v>
      </c>
      <c r="M19" s="203" t="s">
        <v>99</v>
      </c>
      <c r="N19" s="39"/>
      <c r="O19" s="45">
        <f>3.29-11.37/O17+10.9/O17^2</f>
        <v>0.77445704683889982</v>
      </c>
    </row>
    <row r="20" spans="1:15" ht="54.75" customHeight="1" x14ac:dyDescent="0.25">
      <c r="A20" s="43">
        <f t="shared" si="0"/>
        <v>17</v>
      </c>
      <c r="B20" s="42" t="s">
        <v>103</v>
      </c>
      <c r="C20" s="41" t="s">
        <v>128</v>
      </c>
      <c r="D20" s="203" t="s">
        <v>99</v>
      </c>
      <c r="E20" s="39"/>
      <c r="F20" s="45">
        <f>3.23-16.27/(F17)+25.48/(F17^2)-11.81/(F17^3)</f>
        <v>0.35886247015190786</v>
      </c>
      <c r="G20" s="37"/>
      <c r="H20" s="37"/>
      <c r="I20" s="37"/>
      <c r="J20" s="43">
        <f t="shared" si="1"/>
        <v>17</v>
      </c>
      <c r="K20" s="42" t="s">
        <v>103</v>
      </c>
      <c r="L20" s="41" t="s">
        <v>128</v>
      </c>
      <c r="M20" s="203" t="s">
        <v>99</v>
      </c>
      <c r="N20" s="39"/>
      <c r="O20" s="45">
        <f>3.23-16.27/(O17)+25.48/(O17^2)-11.81/(O17^3)</f>
        <v>0.32589843809454422</v>
      </c>
    </row>
    <row r="21" spans="1:15" ht="55.5" customHeight="1" x14ac:dyDescent="0.25">
      <c r="A21" s="43">
        <f t="shared" si="0"/>
        <v>18</v>
      </c>
      <c r="B21" s="42" t="s">
        <v>103</v>
      </c>
      <c r="C21" s="41" t="s">
        <v>127</v>
      </c>
      <c r="D21" s="203" t="s">
        <v>99</v>
      </c>
      <c r="E21" s="39"/>
      <c r="F21" s="45">
        <f>-0.214+0.908/F17-0.967/(F17^2)</f>
        <v>-7.1997256515775043E-2</v>
      </c>
      <c r="G21" s="35"/>
      <c r="H21" s="35"/>
      <c r="I21" s="35"/>
      <c r="J21" s="43">
        <f t="shared" si="1"/>
        <v>18</v>
      </c>
      <c r="K21" s="42" t="s">
        <v>103</v>
      </c>
      <c r="L21" s="41" t="s">
        <v>127</v>
      </c>
      <c r="M21" s="203" t="s">
        <v>99</v>
      </c>
      <c r="N21" s="39"/>
      <c r="O21" s="45">
        <f>-0.214+0.908/O17-0.967/(O17^2)</f>
        <v>-6.380046208779655E-2</v>
      </c>
    </row>
    <row r="22" spans="1:15" ht="45" customHeight="1" x14ac:dyDescent="0.25">
      <c r="A22" s="43">
        <f t="shared" si="0"/>
        <v>19</v>
      </c>
      <c r="B22" s="42" t="s">
        <v>125</v>
      </c>
      <c r="C22" s="41" t="s">
        <v>124</v>
      </c>
      <c r="D22" s="55" t="s">
        <v>126</v>
      </c>
      <c r="F22" s="202">
        <f>ROUND(F13*(F18+F19*F16+F20*F16^2+F21*F16^3),2)</f>
        <v>2.87</v>
      </c>
      <c r="G22" s="37"/>
      <c r="H22" s="37"/>
      <c r="I22" s="37"/>
      <c r="J22" s="43">
        <f t="shared" si="1"/>
        <v>19</v>
      </c>
      <c r="K22" s="42" t="s">
        <v>125</v>
      </c>
      <c r="L22" s="41" t="s">
        <v>124</v>
      </c>
      <c r="M22" s="55" t="s">
        <v>126</v>
      </c>
      <c r="O22" s="202">
        <f>ROUND(O13*(O18+O19*O16+O20*O16^2+O21*O16^3),2)</f>
        <v>2.0499999999999998</v>
      </c>
    </row>
    <row r="23" spans="1:15" ht="38.4" customHeight="1" x14ac:dyDescent="0.25">
      <c r="A23" s="43">
        <f t="shared" si="0"/>
        <v>20</v>
      </c>
      <c r="B23" s="42" t="s">
        <v>125</v>
      </c>
      <c r="C23" s="41" t="s">
        <v>124</v>
      </c>
      <c r="D23" s="55" t="s">
        <v>123</v>
      </c>
      <c r="E23" s="54" t="s">
        <v>99</v>
      </c>
      <c r="F23" s="202">
        <f>ROUND(F22/4.19*F8,3)</f>
        <v>0.51100000000000001</v>
      </c>
      <c r="G23" s="37"/>
      <c r="H23" s="37"/>
      <c r="I23" s="37"/>
      <c r="J23" s="43">
        <f t="shared" si="1"/>
        <v>20</v>
      </c>
      <c r="K23" s="42" t="s">
        <v>125</v>
      </c>
      <c r="L23" s="41" t="s">
        <v>124</v>
      </c>
      <c r="M23" s="55" t="s">
        <v>123</v>
      </c>
      <c r="N23" s="54" t="s">
        <v>99</v>
      </c>
      <c r="O23" s="202">
        <f>ROUND(O22/4.19*O8,3)</f>
        <v>0.36499999999999999</v>
      </c>
    </row>
    <row r="24" spans="1:15" ht="44.4" customHeight="1" x14ac:dyDescent="0.35">
      <c r="A24" s="43">
        <f t="shared" si="0"/>
        <v>21</v>
      </c>
      <c r="B24" s="42" t="s">
        <v>103</v>
      </c>
      <c r="C24" s="41" t="s">
        <v>122</v>
      </c>
      <c r="D24" s="51" t="s">
        <v>116</v>
      </c>
      <c r="E24" s="39"/>
      <c r="F24" s="45">
        <f>(1.81+5.95*F17)*10^(-6)</f>
        <v>9.8425000000000011E-6</v>
      </c>
      <c r="G24" s="52"/>
      <c r="H24" s="52"/>
      <c r="I24" s="52"/>
      <c r="J24" s="43">
        <f t="shared" si="1"/>
        <v>21</v>
      </c>
      <c r="K24" s="42" t="s">
        <v>103</v>
      </c>
      <c r="L24" s="41" t="s">
        <v>122</v>
      </c>
      <c r="M24" s="51" t="s">
        <v>116</v>
      </c>
      <c r="N24" s="39"/>
      <c r="O24" s="45">
        <f>(1.81+5.95*O17)*10^(-6)</f>
        <v>1.0021000000000001E-5</v>
      </c>
    </row>
    <row r="25" spans="1:15" ht="51" customHeight="1" x14ac:dyDescent="0.25">
      <c r="A25" s="43">
        <f t="shared" si="0"/>
        <v>22</v>
      </c>
      <c r="B25" s="42" t="s">
        <v>103</v>
      </c>
      <c r="C25" s="41" t="s">
        <v>121</v>
      </c>
      <c r="D25" s="203" t="s">
        <v>99</v>
      </c>
      <c r="E25" s="39"/>
      <c r="F25" s="45">
        <f>-0.67+2.36/F17-1.93/F17^2</f>
        <v>1.9163237311385473E-2</v>
      </c>
      <c r="G25" s="37"/>
      <c r="H25" s="37"/>
      <c r="I25" s="37"/>
      <c r="J25" s="43">
        <f t="shared" si="1"/>
        <v>22</v>
      </c>
      <c r="K25" s="42" t="s">
        <v>103</v>
      </c>
      <c r="L25" s="41" t="s">
        <v>121</v>
      </c>
      <c r="M25" s="203" t="s">
        <v>99</v>
      </c>
      <c r="N25" s="39"/>
      <c r="O25" s="45">
        <f>-0.67+2.36/O17-1.93/O17^2</f>
        <v>2.6702373450955719E-2</v>
      </c>
    </row>
    <row r="26" spans="1:15" ht="50.25" customHeight="1" x14ac:dyDescent="0.25">
      <c r="A26" s="43">
        <f t="shared" si="0"/>
        <v>23</v>
      </c>
      <c r="B26" s="42" t="s">
        <v>103</v>
      </c>
      <c r="C26" s="41" t="s">
        <v>120</v>
      </c>
      <c r="D26" s="203" t="s">
        <v>99</v>
      </c>
      <c r="E26" s="39"/>
      <c r="F26" s="45">
        <f>0.8-2.89/F17+2.65/F17^2</f>
        <v>0.1133058984910833</v>
      </c>
      <c r="G26" s="37"/>
      <c r="H26" s="37"/>
      <c r="I26" s="37"/>
      <c r="J26" s="43">
        <f t="shared" si="1"/>
        <v>23</v>
      </c>
      <c r="K26" s="42" t="s">
        <v>103</v>
      </c>
      <c r="L26" s="41" t="s">
        <v>120</v>
      </c>
      <c r="M26" s="203" t="s">
        <v>99</v>
      </c>
      <c r="N26" s="39"/>
      <c r="O26" s="45">
        <f>0.8-2.89/O17+2.65/O17^2</f>
        <v>9.7311489182944522E-2</v>
      </c>
    </row>
    <row r="27" spans="1:15" ht="47.25" customHeight="1" x14ac:dyDescent="0.25">
      <c r="A27" s="43">
        <f t="shared" si="0"/>
        <v>24</v>
      </c>
      <c r="B27" s="42" t="s">
        <v>103</v>
      </c>
      <c r="C27" s="41" t="s">
        <v>119</v>
      </c>
      <c r="D27" s="203" t="s">
        <v>99</v>
      </c>
      <c r="E27" s="39"/>
      <c r="F27" s="45">
        <f>-0.1+0.354/F17-0.314/F17^2</f>
        <v>-1.0068587105624166E-2</v>
      </c>
      <c r="G27" s="37"/>
      <c r="H27" s="37"/>
      <c r="I27" s="37"/>
      <c r="J27" s="43">
        <f t="shared" si="1"/>
        <v>24</v>
      </c>
      <c r="K27" s="42" t="s">
        <v>103</v>
      </c>
      <c r="L27" s="41" t="s">
        <v>119</v>
      </c>
      <c r="M27" s="203" t="s">
        <v>99</v>
      </c>
      <c r="N27" s="39"/>
      <c r="O27" s="45">
        <f>-0.1+0.354/O17-0.314/O17^2</f>
        <v>-8.3595883217811584E-3</v>
      </c>
    </row>
    <row r="28" spans="1:15" ht="41.4" customHeight="1" x14ac:dyDescent="0.25">
      <c r="A28" s="43">
        <f t="shared" si="0"/>
        <v>25</v>
      </c>
      <c r="B28" s="42" t="s">
        <v>118</v>
      </c>
      <c r="C28" s="41" t="s">
        <v>117</v>
      </c>
      <c r="D28" s="50" t="s">
        <v>116</v>
      </c>
      <c r="E28" s="49"/>
      <c r="F28" s="45">
        <f>F24*(1+F25*F16+F26*F16^2+F27*F16^3)</f>
        <v>1.2683773993785107E-5</v>
      </c>
      <c r="G28" s="37"/>
      <c r="H28" s="37"/>
      <c r="I28" s="37"/>
      <c r="J28" s="43">
        <f t="shared" si="1"/>
        <v>25</v>
      </c>
      <c r="K28" s="42" t="s">
        <v>118</v>
      </c>
      <c r="L28" s="41" t="s">
        <v>117</v>
      </c>
      <c r="M28" s="50" t="s">
        <v>116</v>
      </c>
      <c r="N28" s="49"/>
      <c r="O28" s="45">
        <f>O24*(1+O25*O16+O26*O16^2+O27*O16^3)</f>
        <v>1.0170537126242051E-5</v>
      </c>
    </row>
    <row r="29" spans="1:15" ht="31.35" customHeight="1" x14ac:dyDescent="0.25">
      <c r="A29" s="43">
        <f t="shared" si="0"/>
        <v>26</v>
      </c>
      <c r="B29" s="42" t="s">
        <v>115</v>
      </c>
      <c r="C29" s="41" t="s">
        <v>114</v>
      </c>
      <c r="D29" s="203" t="s">
        <v>113</v>
      </c>
      <c r="E29" s="48" t="s">
        <v>112</v>
      </c>
      <c r="F29" s="45">
        <f>F28/F9</f>
        <v>1.640001809385196E-7</v>
      </c>
      <c r="G29" s="37"/>
      <c r="H29" s="37"/>
      <c r="I29" s="37"/>
      <c r="J29" s="43">
        <f t="shared" si="1"/>
        <v>26</v>
      </c>
      <c r="K29" s="42" t="s">
        <v>115</v>
      </c>
      <c r="L29" s="41" t="s">
        <v>114</v>
      </c>
      <c r="M29" s="203" t="s">
        <v>113</v>
      </c>
      <c r="N29" s="48" t="s">
        <v>112</v>
      </c>
      <c r="O29" s="45">
        <f>O28/O9</f>
        <v>9.4962998377610178E-7</v>
      </c>
    </row>
    <row r="30" spans="1:15" ht="31.95" customHeight="1" x14ac:dyDescent="0.25">
      <c r="A30" s="43">
        <f t="shared" si="0"/>
        <v>27</v>
      </c>
      <c r="B30" s="42" t="s">
        <v>103</v>
      </c>
      <c r="C30" s="41" t="s">
        <v>111</v>
      </c>
      <c r="D30" s="203" t="s">
        <v>99</v>
      </c>
      <c r="E30" s="39"/>
      <c r="F30" s="45">
        <f>ROUND(24.96-20.3*F17+4.57*F17^2,2)</f>
        <v>5.88</v>
      </c>
      <c r="G30" s="37"/>
      <c r="H30" s="37"/>
      <c r="I30" s="37"/>
      <c r="J30" s="43">
        <f t="shared" si="1"/>
        <v>27</v>
      </c>
      <c r="K30" s="42" t="s">
        <v>103</v>
      </c>
      <c r="L30" s="41" t="s">
        <v>111</v>
      </c>
      <c r="M30" s="203" t="s">
        <v>99</v>
      </c>
      <c r="N30" s="39"/>
      <c r="O30" s="45">
        <f>ROUND(24.96-20.3*O17+4.57*O17^2,2)</f>
        <v>5.65</v>
      </c>
    </row>
    <row r="31" spans="1:15" ht="45.75" customHeight="1" x14ac:dyDescent="0.25">
      <c r="A31" s="43">
        <f t="shared" si="0"/>
        <v>28</v>
      </c>
      <c r="B31" s="42" t="s">
        <v>103</v>
      </c>
      <c r="C31" s="41" t="s">
        <v>110</v>
      </c>
      <c r="D31" s="203" t="s">
        <v>99</v>
      </c>
      <c r="E31" s="39"/>
      <c r="F31" s="45">
        <f>ROUND(5.66-19.92/F17+16.89/F17^2,2)</f>
        <v>0.17</v>
      </c>
      <c r="G31" s="37"/>
      <c r="H31" s="37"/>
      <c r="I31" s="37"/>
      <c r="J31" s="43">
        <f t="shared" si="1"/>
        <v>28</v>
      </c>
      <c r="K31" s="42" t="s">
        <v>103</v>
      </c>
      <c r="L31" s="41" t="s">
        <v>110</v>
      </c>
      <c r="M31" s="203" t="s">
        <v>99</v>
      </c>
      <c r="N31" s="39"/>
      <c r="O31" s="45">
        <f>ROUND(5.66-19.92/O17+16.89/O17^2,2)</f>
        <v>0.09</v>
      </c>
    </row>
    <row r="32" spans="1:15" ht="39.6" customHeight="1" x14ac:dyDescent="0.25">
      <c r="A32" s="43">
        <f t="shared" si="0"/>
        <v>29</v>
      </c>
      <c r="B32" s="42" t="s">
        <v>103</v>
      </c>
      <c r="C32" s="41" t="s">
        <v>109</v>
      </c>
      <c r="D32" s="203" t="s">
        <v>99</v>
      </c>
      <c r="E32" s="39"/>
      <c r="F32" s="45">
        <f>ROUND(-4.11+14.68/F17-13.39/F17^2,2)</f>
        <v>-0.57999999999999996</v>
      </c>
      <c r="G32" s="37"/>
      <c r="H32" s="37"/>
      <c r="I32" s="37"/>
      <c r="J32" s="43">
        <f t="shared" si="1"/>
        <v>29</v>
      </c>
      <c r="K32" s="42" t="s">
        <v>103</v>
      </c>
      <c r="L32" s="41" t="s">
        <v>109</v>
      </c>
      <c r="M32" s="203" t="s">
        <v>99</v>
      </c>
      <c r="N32" s="39"/>
      <c r="O32" s="45">
        <f>ROUND(-4.11+14.68/O17-13.39/O17^2,2)</f>
        <v>-0.5</v>
      </c>
    </row>
    <row r="33" spans="1:24" ht="53.25" customHeight="1" x14ac:dyDescent="0.25">
      <c r="A33" s="43">
        <f t="shared" si="0"/>
        <v>30</v>
      </c>
      <c r="B33" s="42" t="s">
        <v>103</v>
      </c>
      <c r="C33" s="41" t="s">
        <v>108</v>
      </c>
      <c r="D33" s="203" t="s">
        <v>99</v>
      </c>
      <c r="E33" s="39"/>
      <c r="F33" s="45">
        <f>0.568-2/F17+1.79/F17^2</f>
        <v>6.8685871056241354E-2</v>
      </c>
      <c r="G33" s="37"/>
      <c r="H33" s="37"/>
      <c r="I33" s="37"/>
      <c r="J33" s="43">
        <f t="shared" si="1"/>
        <v>30</v>
      </c>
      <c r="K33" s="42" t="s">
        <v>103</v>
      </c>
      <c r="L33" s="41" t="s">
        <v>108</v>
      </c>
      <c r="M33" s="203" t="s">
        <v>99</v>
      </c>
      <c r="N33" s="39"/>
      <c r="O33" s="45">
        <f>0.568-2/O17+1.79/O17^2</f>
        <v>5.8653224112581337E-2</v>
      </c>
    </row>
    <row r="34" spans="1:24" ht="42" customHeight="1" x14ac:dyDescent="0.25">
      <c r="A34" s="43">
        <f t="shared" si="0"/>
        <v>31</v>
      </c>
      <c r="B34" s="42" t="s">
        <v>107</v>
      </c>
      <c r="C34" s="41" t="s">
        <v>106</v>
      </c>
      <c r="D34" s="203" t="s">
        <v>105</v>
      </c>
      <c r="E34" s="39"/>
      <c r="F34" s="38">
        <f>ROUND(F30+F31*F16+F32*F16^2+F33*F16^3,2)</f>
        <v>4.91</v>
      </c>
      <c r="G34" s="37"/>
      <c r="H34" s="37"/>
      <c r="I34" s="37"/>
      <c r="J34" s="43">
        <f t="shared" si="1"/>
        <v>31</v>
      </c>
      <c r="K34" s="42" t="s">
        <v>107</v>
      </c>
      <c r="L34" s="41" t="s">
        <v>106</v>
      </c>
      <c r="M34" s="203" t="s">
        <v>105</v>
      </c>
      <c r="N34" s="39"/>
      <c r="O34" s="38">
        <f>ROUND(O30+O31*O16+O32*O16^2+O33*O16^3,2)*1.1</f>
        <v>6.2039999999999997</v>
      </c>
    </row>
    <row r="35" spans="1:24" ht="39.75" customHeight="1" x14ac:dyDescent="0.25">
      <c r="A35" s="43">
        <f t="shared" si="0"/>
        <v>32</v>
      </c>
      <c r="B35" s="42" t="s">
        <v>103</v>
      </c>
      <c r="C35" s="41" t="s">
        <v>104</v>
      </c>
      <c r="D35" s="203" t="s">
        <v>99</v>
      </c>
      <c r="E35" s="39"/>
      <c r="F35" s="45">
        <f>-0.39+2.03/F17-3.16/F17^2+1.09/F17^3</f>
        <v>-0.17715642940608678</v>
      </c>
      <c r="G35" s="47"/>
      <c r="H35" s="36"/>
      <c r="I35" s="36"/>
      <c r="J35" s="43">
        <f t="shared" si="1"/>
        <v>32</v>
      </c>
      <c r="K35" s="42" t="s">
        <v>103</v>
      </c>
      <c r="L35" s="41" t="s">
        <v>104</v>
      </c>
      <c r="M35" s="203" t="s">
        <v>99</v>
      </c>
      <c r="N35" s="39"/>
      <c r="O35" s="45">
        <f>-0.39+2.03/O17-3.16/O17^2+1.09/O17^3</f>
        <v>-0.16354806108812903</v>
      </c>
    </row>
    <row r="36" spans="1:24" ht="42" customHeight="1" x14ac:dyDescent="0.25">
      <c r="A36" s="43">
        <f t="shared" si="0"/>
        <v>33</v>
      </c>
      <c r="B36" s="42" t="s">
        <v>103</v>
      </c>
      <c r="C36" s="41" t="s">
        <v>102</v>
      </c>
      <c r="D36" s="203" t="s">
        <v>99</v>
      </c>
      <c r="E36" s="39"/>
      <c r="F36" s="45">
        <f>0.0423-0.1812/F17+0.2124/F17^2</f>
        <v>2.4620987654320983E-2</v>
      </c>
      <c r="G36" s="37"/>
      <c r="H36" s="37"/>
      <c r="I36" s="37"/>
      <c r="J36" s="43">
        <f t="shared" si="1"/>
        <v>33</v>
      </c>
      <c r="K36" s="42" t="s">
        <v>103</v>
      </c>
      <c r="L36" s="41" t="s">
        <v>102</v>
      </c>
      <c r="M36" s="203" t="s">
        <v>99</v>
      </c>
      <c r="N36" s="39"/>
      <c r="O36" s="45">
        <f>0.0423-0.1812/O17+0.2124/O17^2</f>
        <v>2.2526843100189056E-2</v>
      </c>
    </row>
    <row r="37" spans="1:24" ht="28.2" customHeight="1" x14ac:dyDescent="0.3">
      <c r="A37" s="43">
        <f t="shared" si="0"/>
        <v>34</v>
      </c>
      <c r="B37" s="42" t="s">
        <v>101</v>
      </c>
      <c r="C37" s="41" t="s">
        <v>100</v>
      </c>
      <c r="D37" s="40" t="s">
        <v>99</v>
      </c>
      <c r="E37" s="39"/>
      <c r="F37" s="38">
        <f>ROUND(1+F35*F16+F36*F16^2,3)</f>
        <v>0.77700000000000002</v>
      </c>
      <c r="G37" s="44"/>
      <c r="H37" s="44"/>
      <c r="I37" s="44"/>
      <c r="J37" s="43">
        <f t="shared" si="1"/>
        <v>34</v>
      </c>
      <c r="K37" s="42" t="s">
        <v>101</v>
      </c>
      <c r="L37" s="41" t="s">
        <v>100</v>
      </c>
      <c r="M37" s="40" t="s">
        <v>99</v>
      </c>
      <c r="N37" s="39"/>
      <c r="O37" s="38">
        <f>ROUND(1+O35*O16+O36*O16^2,3)</f>
        <v>0.95599999999999996</v>
      </c>
    </row>
    <row r="38" spans="1:24" ht="15" customHeight="1" x14ac:dyDescent="0.25">
      <c r="B38" s="35"/>
      <c r="C38" s="35"/>
      <c r="D38" s="35"/>
      <c r="E38" s="35"/>
      <c r="F38" s="35"/>
      <c r="G38" s="37"/>
      <c r="H38" s="37"/>
      <c r="I38" s="37"/>
    </row>
    <row r="39" spans="1:24" ht="17.399999999999999" customHeight="1" x14ac:dyDescent="0.25">
      <c r="B39" s="35"/>
      <c r="C39" s="35"/>
      <c r="D39" s="35"/>
      <c r="E39" s="35"/>
      <c r="F39" s="35"/>
      <c r="G39" s="37"/>
      <c r="H39" s="37"/>
      <c r="I39" s="37"/>
    </row>
    <row r="40" spans="1:24" ht="18" customHeight="1" x14ac:dyDescent="0.25">
      <c r="G40" s="37"/>
      <c r="H40" s="37"/>
      <c r="I40" s="37"/>
    </row>
    <row r="41" spans="1:24" ht="14.4" customHeight="1" x14ac:dyDescent="0.25">
      <c r="G41" s="37"/>
      <c r="H41" s="37"/>
      <c r="I41" s="37"/>
    </row>
    <row r="42" spans="1:24" ht="17.399999999999999" customHeight="1" x14ac:dyDescent="0.25">
      <c r="G42" s="36"/>
      <c r="H42" s="36"/>
      <c r="I42" s="36"/>
    </row>
    <row r="44" spans="1:24" ht="109.2" x14ac:dyDescent="0.25">
      <c r="A44" s="27" t="s">
        <v>98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19"/>
      <c r="M44" s="19"/>
      <c r="N44" s="19"/>
      <c r="O44" s="19"/>
      <c r="P44" s="35"/>
      <c r="Q44" s="31"/>
      <c r="R44" s="31"/>
    </row>
    <row r="45" spans="1:24" ht="126" x14ac:dyDescent="0.25">
      <c r="A45" s="27" t="s">
        <v>1</v>
      </c>
      <c r="B45" s="27" t="s">
        <v>2</v>
      </c>
      <c r="C45" s="34" t="s">
        <v>3</v>
      </c>
      <c r="D45" s="34" t="s">
        <v>97</v>
      </c>
      <c r="E45" s="34" t="s">
        <v>96</v>
      </c>
      <c r="F45" s="34" t="s">
        <v>95</v>
      </c>
      <c r="G45" s="34" t="s">
        <v>94</v>
      </c>
      <c r="H45" s="27" t="s">
        <v>93</v>
      </c>
      <c r="I45" s="27" t="s">
        <v>92</v>
      </c>
      <c r="J45" s="27" t="s">
        <v>91</v>
      </c>
      <c r="K45" s="27" t="s">
        <v>90</v>
      </c>
      <c r="L45" s="19"/>
      <c r="M45" s="33" t="s">
        <v>89</v>
      </c>
      <c r="N45" s="19"/>
      <c r="O45" s="33" t="s">
        <v>88</v>
      </c>
      <c r="P45" s="19"/>
      <c r="Q45" s="33" t="s">
        <v>87</v>
      </c>
      <c r="R45" s="31"/>
      <c r="S45" s="33" t="s">
        <v>86</v>
      </c>
      <c r="U45" s="33"/>
      <c r="X45" s="33" t="s">
        <v>85</v>
      </c>
    </row>
    <row r="46" spans="1:24" ht="21" x14ac:dyDescent="0.25">
      <c r="A46" s="27"/>
      <c r="B46" s="27"/>
      <c r="C46" s="27"/>
      <c r="D46" s="34"/>
      <c r="E46" s="34"/>
      <c r="F46" s="34"/>
      <c r="G46" s="34"/>
      <c r="H46" s="27"/>
      <c r="I46" s="27"/>
      <c r="J46" s="27"/>
      <c r="K46" s="27"/>
      <c r="L46" s="19"/>
      <c r="M46" s="33"/>
      <c r="N46" s="19"/>
      <c r="O46" s="33"/>
      <c r="P46" s="19"/>
      <c r="Q46" s="33"/>
      <c r="R46" s="31"/>
      <c r="S46" s="33"/>
      <c r="U46" s="33"/>
      <c r="X46" s="33"/>
    </row>
    <row r="47" spans="1:24" ht="15.6" x14ac:dyDescent="0.25">
      <c r="A47" s="30" t="s">
        <v>4</v>
      </c>
      <c r="B47" s="27" t="s">
        <v>5</v>
      </c>
      <c r="C47" s="29">
        <f>'Исходные данные'!C13</f>
        <v>91.73</v>
      </c>
      <c r="D47" s="28">
        <f t="shared" ref="D47:D76" si="2">C47/100</f>
        <v>0.9173</v>
      </c>
      <c r="E47" s="28">
        <f t="shared" ref="E47:E76" si="3">D47/F47/$S$77</f>
        <v>0.91707123142326541</v>
      </c>
      <c r="F47" s="27">
        <v>0.99809999999999999</v>
      </c>
      <c r="G47" s="26">
        <v>16.042999999999999</v>
      </c>
      <c r="H47" s="25">
        <v>0.66820000000000002</v>
      </c>
      <c r="I47" s="24">
        <v>190.56</v>
      </c>
      <c r="J47" s="23">
        <v>4.5987999999999998</v>
      </c>
      <c r="K47" s="22">
        <v>111.65</v>
      </c>
      <c r="L47" s="19"/>
      <c r="M47" s="18">
        <f t="shared" ref="M47:M76" si="4">D47*I47</f>
        <v>174.80068800000001</v>
      </c>
      <c r="N47" s="19"/>
      <c r="O47" s="16">
        <f t="shared" ref="O47:O76" si="5">D47*J47</f>
        <v>4.2184792399999997</v>
      </c>
      <c r="P47" s="19"/>
      <c r="Q47" s="16">
        <f t="shared" ref="Q47:Q76" si="6">D47*G47</f>
        <v>14.7162439</v>
      </c>
      <c r="R47" s="31"/>
      <c r="S47" s="16">
        <f t="shared" ref="S47:S76" si="7">D47/F47</f>
        <v>0.91904618775673785</v>
      </c>
      <c r="U47" s="14">
        <f t="shared" ref="U47:U76" si="8">D47*H47</f>
        <v>0.61293986</v>
      </c>
      <c r="X47" s="14">
        <f t="shared" ref="X47:X76" si="9">E47/F47</f>
        <v>0.91881698369228071</v>
      </c>
    </row>
    <row r="48" spans="1:24" ht="15.6" x14ac:dyDescent="0.25">
      <c r="A48" s="30" t="s">
        <v>6</v>
      </c>
      <c r="B48" s="27" t="s">
        <v>7</v>
      </c>
      <c r="C48" s="29">
        <f>'Исходные данные'!C14</f>
        <v>4.28</v>
      </c>
      <c r="D48" s="28">
        <f t="shared" si="2"/>
        <v>4.2800000000000005E-2</v>
      </c>
      <c r="E48" s="28">
        <f t="shared" si="3"/>
        <v>4.3052445809115929E-2</v>
      </c>
      <c r="F48" s="27">
        <v>0.99199999999999999</v>
      </c>
      <c r="G48" s="26">
        <v>30.07</v>
      </c>
      <c r="H48" s="25">
        <v>1.2601</v>
      </c>
      <c r="I48" s="24">
        <v>305.83</v>
      </c>
      <c r="J48" s="23">
        <v>4.88</v>
      </c>
      <c r="K48" s="22">
        <v>184.55</v>
      </c>
      <c r="L48" s="19"/>
      <c r="M48" s="18">
        <f t="shared" si="4"/>
        <v>13.089524000000001</v>
      </c>
      <c r="N48" s="19"/>
      <c r="O48" s="16">
        <f t="shared" si="5"/>
        <v>0.20886400000000002</v>
      </c>
      <c r="P48" s="19"/>
      <c r="Q48" s="16">
        <f t="shared" si="6"/>
        <v>1.2869960000000003</v>
      </c>
      <c r="R48" s="31"/>
      <c r="S48" s="16">
        <f t="shared" si="7"/>
        <v>4.3145161290322587E-2</v>
      </c>
      <c r="U48" s="14">
        <f t="shared" si="8"/>
        <v>5.3932280000000006E-2</v>
      </c>
      <c r="X48" s="14">
        <f t="shared" si="9"/>
        <v>4.3399642952737828E-2</v>
      </c>
    </row>
    <row r="49" spans="1:24" ht="15.6" x14ac:dyDescent="0.25">
      <c r="A49" s="30" t="s">
        <v>8</v>
      </c>
      <c r="B49" s="27" t="s">
        <v>9</v>
      </c>
      <c r="C49" s="29">
        <f>'Исходные данные'!C15</f>
        <v>1.87</v>
      </c>
      <c r="D49" s="28">
        <f t="shared" si="2"/>
        <v>1.8700000000000001E-2</v>
      </c>
      <c r="E49" s="28">
        <f t="shared" si="3"/>
        <v>1.8974796831549134E-2</v>
      </c>
      <c r="F49" s="27">
        <v>0.98340000000000005</v>
      </c>
      <c r="G49" s="26">
        <v>44.097000000000001</v>
      </c>
      <c r="H49" s="25">
        <v>1.8641000000000001</v>
      </c>
      <c r="I49" s="24">
        <v>369.82</v>
      </c>
      <c r="J49" s="23">
        <v>4.25</v>
      </c>
      <c r="K49" s="22">
        <v>231.05</v>
      </c>
      <c r="L49" s="19"/>
      <c r="M49" s="18">
        <f t="shared" si="4"/>
        <v>6.9156340000000007</v>
      </c>
      <c r="N49" s="19"/>
      <c r="O49" s="16">
        <f t="shared" si="5"/>
        <v>7.9475000000000004E-2</v>
      </c>
      <c r="P49" s="19"/>
      <c r="Q49" s="16">
        <f t="shared" si="6"/>
        <v>0.82461390000000012</v>
      </c>
      <c r="R49" s="31"/>
      <c r="S49" s="16">
        <f t="shared" si="7"/>
        <v>1.901565995525727E-2</v>
      </c>
      <c r="U49" s="14">
        <f t="shared" si="8"/>
        <v>3.4858670000000001E-2</v>
      </c>
      <c r="X49" s="14">
        <f t="shared" si="9"/>
        <v>1.9295095415445527E-2</v>
      </c>
    </row>
    <row r="50" spans="1:24" ht="15.6" x14ac:dyDescent="0.25">
      <c r="A50" s="30" t="s">
        <v>10</v>
      </c>
      <c r="B50" s="27" t="s">
        <v>11</v>
      </c>
      <c r="C50" s="29">
        <f>'Исходные данные'!C16</f>
        <v>0.4803</v>
      </c>
      <c r="D50" s="28">
        <f t="shared" si="2"/>
        <v>4.803E-3</v>
      </c>
      <c r="E50" s="28">
        <f t="shared" si="3"/>
        <v>4.9500916539269883E-3</v>
      </c>
      <c r="F50" s="27">
        <v>0.96819999999999995</v>
      </c>
      <c r="G50" s="26">
        <v>58.122999999999998</v>
      </c>
      <c r="H50" s="25">
        <v>2.4956</v>
      </c>
      <c r="I50" s="24">
        <v>425.14</v>
      </c>
      <c r="J50" s="23">
        <v>3.7839999999999998</v>
      </c>
      <c r="K50" s="22">
        <v>272.67</v>
      </c>
      <c r="L50" s="19"/>
      <c r="M50" s="18">
        <f t="shared" si="4"/>
        <v>2.0419474200000001</v>
      </c>
      <c r="N50" s="19"/>
      <c r="O50" s="16">
        <f t="shared" si="5"/>
        <v>1.8174552E-2</v>
      </c>
      <c r="P50" s="19"/>
      <c r="Q50" s="16">
        <f t="shared" si="6"/>
        <v>0.27916476899999998</v>
      </c>
      <c r="R50" s="31"/>
      <c r="S50" s="16">
        <f t="shared" si="7"/>
        <v>4.9607519107622393E-3</v>
      </c>
      <c r="U50" s="14">
        <f t="shared" si="8"/>
        <v>1.19863668E-2</v>
      </c>
      <c r="X50" s="14">
        <f t="shared" si="9"/>
        <v>5.1126747096952993E-3</v>
      </c>
    </row>
    <row r="51" spans="1:24" ht="15.6" x14ac:dyDescent="0.25">
      <c r="A51" s="30" t="s">
        <v>12</v>
      </c>
      <c r="B51" s="27" t="s">
        <v>13</v>
      </c>
      <c r="C51" s="29">
        <f>'Исходные данные'!C17</f>
        <v>0.37323000000000001</v>
      </c>
      <c r="D51" s="28">
        <f t="shared" si="2"/>
        <v>3.7323E-3</v>
      </c>
      <c r="E51" s="28">
        <f t="shared" si="3"/>
        <v>3.8355093589183624E-3</v>
      </c>
      <c r="F51" s="27">
        <v>0.97099999999999997</v>
      </c>
      <c r="G51" s="26">
        <v>58.122999999999998</v>
      </c>
      <c r="H51" s="25">
        <v>2.488</v>
      </c>
      <c r="I51" s="24">
        <v>408.13</v>
      </c>
      <c r="J51" s="23">
        <v>3.6480000000000001</v>
      </c>
      <c r="K51" s="22">
        <v>261.42</v>
      </c>
      <c r="L51" s="19"/>
      <c r="M51" s="18">
        <f t="shared" si="4"/>
        <v>1.5232635990000001</v>
      </c>
      <c r="N51" s="19"/>
      <c r="O51" s="16">
        <f t="shared" si="5"/>
        <v>1.3615430400000001E-2</v>
      </c>
      <c r="P51" s="19"/>
      <c r="Q51" s="16">
        <f t="shared" si="6"/>
        <v>0.21693247290000001</v>
      </c>
      <c r="R51" s="31"/>
      <c r="S51" s="16">
        <f t="shared" si="7"/>
        <v>3.8437693099897014E-3</v>
      </c>
      <c r="U51" s="14">
        <f t="shared" si="8"/>
        <v>9.2859624000000002E-3</v>
      </c>
      <c r="X51" s="14">
        <f t="shared" si="9"/>
        <v>3.9500611317387878E-3</v>
      </c>
    </row>
    <row r="52" spans="1:24" ht="55.5" customHeight="1" x14ac:dyDescent="0.25">
      <c r="A52" s="30" t="s">
        <v>14</v>
      </c>
      <c r="B52" s="27" t="s">
        <v>15</v>
      </c>
      <c r="C52" s="29">
        <f>'Исходные данные'!C18</f>
        <v>7.8049999999999994E-2</v>
      </c>
      <c r="D52" s="28">
        <f t="shared" si="2"/>
        <v>7.8049999999999994E-4</v>
      </c>
      <c r="E52" s="28">
        <f t="shared" si="3"/>
        <v>8.2415107754494525E-4</v>
      </c>
      <c r="F52" s="27">
        <v>0.94499999999999995</v>
      </c>
      <c r="G52" s="26">
        <v>72.150000000000006</v>
      </c>
      <c r="H52" s="25">
        <v>3.1739999999999999</v>
      </c>
      <c r="I52" s="24">
        <v>469.69</v>
      </c>
      <c r="J52" s="23">
        <v>3.3639999999999999</v>
      </c>
      <c r="K52" s="22">
        <v>309.19</v>
      </c>
      <c r="L52" s="19"/>
      <c r="M52" s="18">
        <f t="shared" si="4"/>
        <v>0.36659304499999995</v>
      </c>
      <c r="N52" s="19"/>
      <c r="O52" s="16">
        <f t="shared" si="5"/>
        <v>2.6256019999999999E-3</v>
      </c>
      <c r="P52" s="19"/>
      <c r="Q52" s="16">
        <f t="shared" si="6"/>
        <v>5.6313074999999997E-2</v>
      </c>
      <c r="R52" s="31"/>
      <c r="S52" s="16">
        <f t="shared" si="7"/>
        <v>8.2592592592592592E-4</v>
      </c>
      <c r="U52" s="14">
        <f t="shared" si="8"/>
        <v>2.4773069999999998E-3</v>
      </c>
      <c r="X52" s="14">
        <f t="shared" si="9"/>
        <v>8.7211754237560347E-4</v>
      </c>
    </row>
    <row r="53" spans="1:24" ht="31.2" x14ac:dyDescent="0.25">
      <c r="A53" s="30" t="s">
        <v>16</v>
      </c>
      <c r="B53" s="27" t="s">
        <v>17</v>
      </c>
      <c r="C53" s="29">
        <f>'Исходные данные'!C19</f>
        <v>1.2508E-2</v>
      </c>
      <c r="D53" s="28">
        <f t="shared" si="2"/>
        <v>1.2507999999999999E-4</v>
      </c>
      <c r="E53" s="28">
        <f t="shared" si="3"/>
        <v>1.3096664547836603E-4</v>
      </c>
      <c r="F53" s="27">
        <v>0.95299999999999996</v>
      </c>
      <c r="G53" s="26">
        <v>72.150000000000006</v>
      </c>
      <c r="H53" s="25">
        <v>3.1469999999999998</v>
      </c>
      <c r="I53" s="24">
        <v>460.39</v>
      </c>
      <c r="J53" s="23">
        <v>3.3809999999999998</v>
      </c>
      <c r="K53" s="22">
        <v>301.02</v>
      </c>
      <c r="L53" s="19"/>
      <c r="M53" s="18">
        <f t="shared" si="4"/>
        <v>5.7585581199999993E-2</v>
      </c>
      <c r="N53" s="19"/>
      <c r="O53" s="16">
        <f t="shared" si="5"/>
        <v>4.2289547999999993E-4</v>
      </c>
      <c r="P53" s="19"/>
      <c r="Q53" s="16">
        <f t="shared" si="6"/>
        <v>9.0245220000000001E-3</v>
      </c>
      <c r="R53" s="31"/>
      <c r="S53" s="16">
        <f t="shared" si="7"/>
        <v>1.3124868835257081E-4</v>
      </c>
      <c r="U53" s="14">
        <f t="shared" si="8"/>
        <v>3.9362675999999995E-4</v>
      </c>
      <c r="X53" s="14">
        <f t="shared" si="9"/>
        <v>1.3742565107908295E-4</v>
      </c>
    </row>
    <row r="54" spans="1:24" ht="31.2" x14ac:dyDescent="0.25">
      <c r="A54" s="30" t="s">
        <v>18</v>
      </c>
      <c r="B54" s="27" t="s">
        <v>19</v>
      </c>
      <c r="C54" s="29">
        <f>'Исходные данные'!C20</f>
        <v>7.3050000000000004E-2</v>
      </c>
      <c r="D54" s="28">
        <f t="shared" si="2"/>
        <v>7.3050000000000003E-4</v>
      </c>
      <c r="E54" s="28">
        <f t="shared" si="3"/>
        <v>7.9317759984569541E-4</v>
      </c>
      <c r="F54" s="27">
        <v>0.91900000000000004</v>
      </c>
      <c r="G54" s="26">
        <v>86.177000000000007</v>
      </c>
      <c r="H54" s="25">
        <v>3.8980000000000001</v>
      </c>
      <c r="I54" s="24">
        <v>506.4</v>
      </c>
      <c r="J54" s="23">
        <v>3.03</v>
      </c>
      <c r="K54" s="22">
        <v>341.89</v>
      </c>
      <c r="L54" s="19"/>
      <c r="M54" s="18">
        <f t="shared" si="4"/>
        <v>0.36992520000000001</v>
      </c>
      <c r="N54" s="19"/>
      <c r="O54" s="16">
        <f t="shared" si="5"/>
        <v>2.2134149999999998E-3</v>
      </c>
      <c r="P54" s="19"/>
      <c r="Q54" s="16">
        <f t="shared" si="6"/>
        <v>6.2952298500000003E-2</v>
      </c>
      <c r="R54" s="31"/>
      <c r="S54" s="16">
        <f t="shared" si="7"/>
        <v>7.9488574537540805E-4</v>
      </c>
      <c r="U54" s="14">
        <f t="shared" si="8"/>
        <v>2.8474890000000004E-3</v>
      </c>
      <c r="X54" s="14">
        <f t="shared" si="9"/>
        <v>8.6308770385821044E-4</v>
      </c>
    </row>
    <row r="55" spans="1:24" ht="31.2" x14ac:dyDescent="0.25">
      <c r="A55" s="30" t="s">
        <v>20</v>
      </c>
      <c r="B55" s="27" t="s">
        <v>21</v>
      </c>
      <c r="C55" s="29">
        <f>'Исходные данные'!C21</f>
        <v>0</v>
      </c>
      <c r="D55" s="28">
        <f t="shared" si="2"/>
        <v>0</v>
      </c>
      <c r="E55" s="28">
        <f t="shared" si="3"/>
        <v>0</v>
      </c>
      <c r="F55" s="27">
        <v>0.876</v>
      </c>
      <c r="G55" s="26">
        <v>100.20399999999999</v>
      </c>
      <c r="H55" s="25">
        <v>4.7549999999999999</v>
      </c>
      <c r="I55" s="24">
        <v>539.20000000000005</v>
      </c>
      <c r="J55" s="23">
        <v>2.74</v>
      </c>
      <c r="K55" s="22">
        <v>371.58</v>
      </c>
      <c r="L55" s="19"/>
      <c r="M55" s="18">
        <f t="shared" si="4"/>
        <v>0</v>
      </c>
      <c r="N55" s="19"/>
      <c r="O55" s="16">
        <f t="shared" si="5"/>
        <v>0</v>
      </c>
      <c r="P55" s="19"/>
      <c r="Q55" s="16">
        <f t="shared" si="6"/>
        <v>0</v>
      </c>
      <c r="R55" s="32"/>
      <c r="S55" s="16">
        <f t="shared" si="7"/>
        <v>0</v>
      </c>
      <c r="U55" s="14">
        <f t="shared" si="8"/>
        <v>0</v>
      </c>
      <c r="X55" s="14">
        <f t="shared" si="9"/>
        <v>0</v>
      </c>
    </row>
    <row r="56" spans="1:24" ht="15.6" x14ac:dyDescent="0.25">
      <c r="A56" s="30" t="s">
        <v>22</v>
      </c>
      <c r="B56" s="27" t="s">
        <v>23</v>
      </c>
      <c r="C56" s="29">
        <f>'Исходные данные'!C22</f>
        <v>0</v>
      </c>
      <c r="D56" s="28">
        <f t="shared" si="2"/>
        <v>0</v>
      </c>
      <c r="E56" s="28">
        <f t="shared" si="3"/>
        <v>0</v>
      </c>
      <c r="F56" s="27">
        <v>0.81699999999999995</v>
      </c>
      <c r="G56" s="26">
        <v>114.23099999999999</v>
      </c>
      <c r="H56" s="25">
        <v>5.8120000000000003</v>
      </c>
      <c r="I56" s="24">
        <v>568.4</v>
      </c>
      <c r="J56" s="23">
        <v>2.4900000000000002</v>
      </c>
      <c r="K56" s="22">
        <v>398.83</v>
      </c>
      <c r="L56" s="19"/>
      <c r="M56" s="18">
        <f t="shared" si="4"/>
        <v>0</v>
      </c>
      <c r="N56" s="19"/>
      <c r="O56" s="16">
        <f t="shared" si="5"/>
        <v>0</v>
      </c>
      <c r="P56" s="19"/>
      <c r="Q56" s="16">
        <f t="shared" si="6"/>
        <v>0</v>
      </c>
      <c r="R56" s="31"/>
      <c r="S56" s="16">
        <f t="shared" si="7"/>
        <v>0</v>
      </c>
      <c r="U56" s="14">
        <f t="shared" si="8"/>
        <v>0</v>
      </c>
      <c r="X56" s="14">
        <f t="shared" si="9"/>
        <v>0</v>
      </c>
    </row>
    <row r="57" spans="1:24" ht="31.2" x14ac:dyDescent="0.25">
      <c r="A57" s="30" t="s">
        <v>24</v>
      </c>
      <c r="B57" s="27" t="s">
        <v>25</v>
      </c>
      <c r="C57" s="29">
        <f>'Исходные данные'!C23</f>
        <v>0</v>
      </c>
      <c r="D57" s="28">
        <f t="shared" si="2"/>
        <v>0</v>
      </c>
      <c r="E57" s="28">
        <f t="shared" si="3"/>
        <v>0</v>
      </c>
      <c r="F57" s="27">
        <v>0.99299999999999999</v>
      </c>
      <c r="G57" s="26">
        <v>26.038</v>
      </c>
      <c r="H57" s="25">
        <v>1.0900000000000001</v>
      </c>
      <c r="I57" s="24">
        <v>308.33</v>
      </c>
      <c r="J57" s="23">
        <v>6.1390000000000002</v>
      </c>
      <c r="K57" s="22">
        <v>189.15</v>
      </c>
      <c r="L57" s="19"/>
      <c r="M57" s="18">
        <f t="shared" si="4"/>
        <v>0</v>
      </c>
      <c r="N57" s="19"/>
      <c r="O57" s="16">
        <f t="shared" si="5"/>
        <v>0</v>
      </c>
      <c r="P57" s="19"/>
      <c r="Q57" s="16">
        <f t="shared" si="6"/>
        <v>0</v>
      </c>
      <c r="R57" s="31"/>
      <c r="S57" s="16">
        <f t="shared" si="7"/>
        <v>0</v>
      </c>
      <c r="U57" s="14">
        <f t="shared" si="8"/>
        <v>0</v>
      </c>
      <c r="X57" s="14">
        <f t="shared" si="9"/>
        <v>0</v>
      </c>
    </row>
    <row r="58" spans="1:24" ht="15.6" x14ac:dyDescent="0.25">
      <c r="A58" s="30" t="s">
        <v>26</v>
      </c>
      <c r="B58" s="27" t="s">
        <v>27</v>
      </c>
      <c r="C58" s="29">
        <f>'Исходные данные'!C24</f>
        <v>0</v>
      </c>
      <c r="D58" s="28">
        <f t="shared" si="2"/>
        <v>0</v>
      </c>
      <c r="E58" s="28">
        <f t="shared" si="3"/>
        <v>0</v>
      </c>
      <c r="F58" s="27">
        <v>0.99399999999999999</v>
      </c>
      <c r="G58" s="26">
        <v>28.053999999999998</v>
      </c>
      <c r="H58" s="25">
        <v>1.1733</v>
      </c>
      <c r="I58" s="24">
        <v>282.35000000000002</v>
      </c>
      <c r="J58" s="23">
        <v>5.0419999999999998</v>
      </c>
      <c r="K58" s="22">
        <v>169.44</v>
      </c>
      <c r="L58" s="19"/>
      <c r="M58" s="18">
        <f t="shared" si="4"/>
        <v>0</v>
      </c>
      <c r="N58" s="19"/>
      <c r="O58" s="16">
        <f t="shared" si="5"/>
        <v>0</v>
      </c>
      <c r="P58" s="19"/>
      <c r="Q58" s="16">
        <f t="shared" si="6"/>
        <v>0</v>
      </c>
      <c r="R58" s="31"/>
      <c r="S58" s="16">
        <f t="shared" si="7"/>
        <v>0</v>
      </c>
      <c r="U58" s="14">
        <f t="shared" si="8"/>
        <v>0</v>
      </c>
      <c r="X58" s="14">
        <f t="shared" si="9"/>
        <v>0</v>
      </c>
    </row>
    <row r="59" spans="1:24" ht="31.2" x14ac:dyDescent="0.25">
      <c r="A59" s="30" t="s">
        <v>28</v>
      </c>
      <c r="B59" s="27" t="s">
        <v>29</v>
      </c>
      <c r="C59" s="29">
        <f>'Исходные данные'!C25</f>
        <v>0</v>
      </c>
      <c r="D59" s="28">
        <f t="shared" si="2"/>
        <v>0</v>
      </c>
      <c r="E59" s="28">
        <f t="shared" si="3"/>
        <v>0</v>
      </c>
      <c r="F59" s="27">
        <v>0.98499999999999999</v>
      </c>
      <c r="G59" s="26">
        <v>42.081000000000003</v>
      </c>
      <c r="H59" s="25">
        <v>1.776</v>
      </c>
      <c r="I59" s="24">
        <v>364.85</v>
      </c>
      <c r="J59" s="23">
        <v>4.601</v>
      </c>
      <c r="K59" s="22">
        <v>225.45</v>
      </c>
      <c r="L59" s="19"/>
      <c r="M59" s="18">
        <f t="shared" si="4"/>
        <v>0</v>
      </c>
      <c r="N59" s="19"/>
      <c r="O59" s="16">
        <f t="shared" si="5"/>
        <v>0</v>
      </c>
      <c r="P59" s="19"/>
      <c r="Q59" s="16">
        <f t="shared" si="6"/>
        <v>0</v>
      </c>
      <c r="R59" s="31"/>
      <c r="S59" s="16">
        <f t="shared" si="7"/>
        <v>0</v>
      </c>
      <c r="U59" s="14">
        <f t="shared" si="8"/>
        <v>0</v>
      </c>
      <c r="X59" s="14">
        <f t="shared" si="9"/>
        <v>0</v>
      </c>
    </row>
    <row r="60" spans="1:24" ht="15.6" x14ac:dyDescent="0.25">
      <c r="A60" s="30" t="s">
        <v>30</v>
      </c>
      <c r="B60" s="27" t="s">
        <v>31</v>
      </c>
      <c r="C60" s="29">
        <f>'Исходные данные'!C26</f>
        <v>0</v>
      </c>
      <c r="D60" s="28">
        <f t="shared" si="2"/>
        <v>0</v>
      </c>
      <c r="E60" s="28">
        <f t="shared" si="3"/>
        <v>0</v>
      </c>
      <c r="F60" s="27">
        <v>0.93600000000000005</v>
      </c>
      <c r="G60" s="26">
        <v>78.114000000000004</v>
      </c>
      <c r="H60" s="25">
        <v>3.4689999999999999</v>
      </c>
      <c r="I60" s="24">
        <v>562.16</v>
      </c>
      <c r="J60" s="23">
        <v>4.8979999999999997</v>
      </c>
      <c r="K60" s="22">
        <v>353.25</v>
      </c>
      <c r="L60" s="19"/>
      <c r="M60" s="18">
        <f t="shared" si="4"/>
        <v>0</v>
      </c>
      <c r="N60" s="19"/>
      <c r="O60" s="16">
        <f t="shared" si="5"/>
        <v>0</v>
      </c>
      <c r="P60" s="19"/>
      <c r="Q60" s="16">
        <f t="shared" si="6"/>
        <v>0</v>
      </c>
      <c r="R60" s="31"/>
      <c r="S60" s="16">
        <f t="shared" si="7"/>
        <v>0</v>
      </c>
      <c r="U60" s="14">
        <f t="shared" si="8"/>
        <v>0</v>
      </c>
      <c r="X60" s="14">
        <f t="shared" si="9"/>
        <v>0</v>
      </c>
    </row>
    <row r="61" spans="1:24" ht="15.6" x14ac:dyDescent="0.25">
      <c r="A61" s="30" t="s">
        <v>32</v>
      </c>
      <c r="B61" s="27" t="s">
        <v>33</v>
      </c>
      <c r="C61" s="29">
        <f>'Исходные данные'!C27</f>
        <v>0</v>
      </c>
      <c r="D61" s="28">
        <f t="shared" si="2"/>
        <v>0</v>
      </c>
      <c r="E61" s="28">
        <f t="shared" si="3"/>
        <v>0</v>
      </c>
      <c r="F61" s="27">
        <v>0.89200000000000002</v>
      </c>
      <c r="G61" s="26">
        <v>92.141000000000005</v>
      </c>
      <c r="H61" s="25">
        <v>4.2939999999999996</v>
      </c>
      <c r="I61" s="24">
        <v>591.79999999999995</v>
      </c>
      <c r="J61" s="23">
        <v>4.1059999999999999</v>
      </c>
      <c r="K61" s="22">
        <v>383.78</v>
      </c>
      <c r="L61" s="19"/>
      <c r="M61" s="18">
        <f t="shared" si="4"/>
        <v>0</v>
      </c>
      <c r="N61" s="19"/>
      <c r="O61" s="16">
        <f t="shared" si="5"/>
        <v>0</v>
      </c>
      <c r="P61" s="19"/>
      <c r="Q61" s="16">
        <f t="shared" si="6"/>
        <v>0</v>
      </c>
      <c r="R61" s="31"/>
      <c r="S61" s="16">
        <f t="shared" si="7"/>
        <v>0</v>
      </c>
      <c r="U61" s="14">
        <f t="shared" si="8"/>
        <v>0</v>
      </c>
      <c r="X61" s="14">
        <f t="shared" si="9"/>
        <v>0</v>
      </c>
    </row>
    <row r="62" spans="1:24" ht="15.6" x14ac:dyDescent="0.25">
      <c r="A62" s="30" t="s">
        <v>34</v>
      </c>
      <c r="B62" s="27" t="s">
        <v>35</v>
      </c>
      <c r="C62" s="29">
        <f>'Исходные данные'!C28</f>
        <v>1.0000000000000001E-5</v>
      </c>
      <c r="D62" s="28">
        <f t="shared" si="2"/>
        <v>1.0000000000000001E-7</v>
      </c>
      <c r="E62" s="28">
        <f t="shared" si="3"/>
        <v>9.9725272879830522E-8</v>
      </c>
      <c r="F62" s="27">
        <v>1.0005999999999999</v>
      </c>
      <c r="G62" s="26">
        <v>2.016</v>
      </c>
      <c r="H62" s="25">
        <v>8.3799999999999999E-2</v>
      </c>
      <c r="I62" s="24">
        <v>33.200000000000003</v>
      </c>
      <c r="J62" s="23">
        <v>1.2969999999999999</v>
      </c>
      <c r="K62" s="22">
        <v>20.350000000000001</v>
      </c>
      <c r="L62" s="19"/>
      <c r="M62" s="18">
        <f t="shared" si="4"/>
        <v>3.3200000000000004E-6</v>
      </c>
      <c r="N62" s="19"/>
      <c r="O62" s="16">
        <f t="shared" si="5"/>
        <v>1.297E-7</v>
      </c>
      <c r="P62" s="19"/>
      <c r="Q62" s="16">
        <f t="shared" si="6"/>
        <v>2.0160000000000003E-7</v>
      </c>
      <c r="R62" s="31"/>
      <c r="S62" s="16">
        <f t="shared" si="7"/>
        <v>9.9940035978412973E-8</v>
      </c>
      <c r="U62" s="14">
        <f t="shared" si="8"/>
        <v>8.3800000000000013E-9</v>
      </c>
      <c r="X62" s="14">
        <f t="shared" si="9"/>
        <v>9.9665473595673122E-8</v>
      </c>
    </row>
    <row r="63" spans="1:24" ht="31.2" x14ac:dyDescent="0.25">
      <c r="A63" s="30" t="s">
        <v>36</v>
      </c>
      <c r="B63" s="27" t="s">
        <v>37</v>
      </c>
      <c r="C63" s="29">
        <f>'Исходные данные'!C29</f>
        <v>0</v>
      </c>
      <c r="D63" s="28">
        <f t="shared" si="2"/>
        <v>0</v>
      </c>
      <c r="E63" s="28">
        <f t="shared" si="3"/>
        <v>0</v>
      </c>
      <c r="F63" s="27">
        <v>0.95199999999999996</v>
      </c>
      <c r="G63" s="26">
        <v>18.015000000000001</v>
      </c>
      <c r="H63" s="25">
        <v>0.78700000000000003</v>
      </c>
      <c r="I63" s="24">
        <v>647.14</v>
      </c>
      <c r="J63" s="23">
        <v>22.064</v>
      </c>
      <c r="K63" s="22">
        <v>373.15</v>
      </c>
      <c r="L63" s="19"/>
      <c r="M63" s="18">
        <f t="shared" si="4"/>
        <v>0</v>
      </c>
      <c r="N63" s="19"/>
      <c r="O63" s="16">
        <f t="shared" si="5"/>
        <v>0</v>
      </c>
      <c r="P63" s="19"/>
      <c r="Q63" s="16">
        <f t="shared" si="6"/>
        <v>0</v>
      </c>
      <c r="R63" s="31"/>
      <c r="S63" s="16">
        <f t="shared" si="7"/>
        <v>0</v>
      </c>
      <c r="U63" s="14">
        <f t="shared" si="8"/>
        <v>0</v>
      </c>
      <c r="X63" s="14">
        <f t="shared" si="9"/>
        <v>0</v>
      </c>
    </row>
    <row r="64" spans="1:24" ht="15.6" x14ac:dyDescent="0.25">
      <c r="A64" s="30" t="s">
        <v>38</v>
      </c>
      <c r="B64" s="27" t="s">
        <v>39</v>
      </c>
      <c r="C64" s="29">
        <f>'Исходные данные'!C30</f>
        <v>0</v>
      </c>
      <c r="D64" s="28">
        <f t="shared" si="2"/>
        <v>0</v>
      </c>
      <c r="E64" s="28">
        <f t="shared" si="3"/>
        <v>0</v>
      </c>
      <c r="F64" s="27">
        <v>0.98899999999999999</v>
      </c>
      <c r="G64" s="26">
        <v>17.030999999999999</v>
      </c>
      <c r="H64" s="25">
        <v>0.71599999999999997</v>
      </c>
      <c r="I64" s="24">
        <v>405.5</v>
      </c>
      <c r="J64" s="23">
        <v>11.35</v>
      </c>
      <c r="K64" s="22">
        <v>239.75</v>
      </c>
      <c r="L64" s="19"/>
      <c r="M64" s="18">
        <f t="shared" si="4"/>
        <v>0</v>
      </c>
      <c r="N64" s="19"/>
      <c r="O64" s="16">
        <f t="shared" si="5"/>
        <v>0</v>
      </c>
      <c r="P64" s="19"/>
      <c r="Q64" s="16">
        <f t="shared" si="6"/>
        <v>0</v>
      </c>
      <c r="R64" s="31"/>
      <c r="S64" s="16">
        <f t="shared" si="7"/>
        <v>0</v>
      </c>
      <c r="U64" s="14">
        <f t="shared" si="8"/>
        <v>0</v>
      </c>
      <c r="X64" s="14">
        <f t="shared" si="9"/>
        <v>0</v>
      </c>
    </row>
    <row r="65" spans="1:24" ht="15.6" x14ac:dyDescent="0.25">
      <c r="A65" s="30" t="s">
        <v>40</v>
      </c>
      <c r="B65" s="27" t="s">
        <v>41</v>
      </c>
      <c r="C65" s="29">
        <f>'Исходные данные'!C31</f>
        <v>0</v>
      </c>
      <c r="D65" s="28">
        <f t="shared" si="2"/>
        <v>0</v>
      </c>
      <c r="E65" s="28">
        <f t="shared" si="3"/>
        <v>0</v>
      </c>
      <c r="F65" s="27">
        <v>0.89200000000000002</v>
      </c>
      <c r="G65" s="26">
        <v>34.042000000000002</v>
      </c>
      <c r="H65" s="25">
        <v>1.587</v>
      </c>
      <c r="I65" s="24">
        <v>512.64</v>
      </c>
      <c r="J65" s="23">
        <v>8.0920000000000005</v>
      </c>
      <c r="K65" s="22">
        <v>337.85</v>
      </c>
      <c r="L65" s="19"/>
      <c r="M65" s="18">
        <f t="shared" si="4"/>
        <v>0</v>
      </c>
      <c r="N65" s="19"/>
      <c r="O65" s="16">
        <f t="shared" si="5"/>
        <v>0</v>
      </c>
      <c r="P65" s="19"/>
      <c r="Q65" s="16">
        <f t="shared" si="6"/>
        <v>0</v>
      </c>
      <c r="R65" s="31"/>
      <c r="S65" s="16">
        <f t="shared" si="7"/>
        <v>0</v>
      </c>
      <c r="U65" s="14">
        <f t="shared" si="8"/>
        <v>0</v>
      </c>
      <c r="X65" s="14">
        <f t="shared" si="9"/>
        <v>0</v>
      </c>
    </row>
    <row r="66" spans="1:24" ht="31.2" x14ac:dyDescent="0.25">
      <c r="A66" s="30" t="s">
        <v>42</v>
      </c>
      <c r="B66" s="27" t="s">
        <v>43</v>
      </c>
      <c r="C66" s="29">
        <f>'Исходные данные'!C32</f>
        <v>0</v>
      </c>
      <c r="D66" s="28">
        <f t="shared" si="2"/>
        <v>0</v>
      </c>
      <c r="E66" s="28">
        <f t="shared" si="3"/>
        <v>0</v>
      </c>
      <c r="F66" s="27">
        <v>0.99</v>
      </c>
      <c r="G66" s="26">
        <v>34.082000000000001</v>
      </c>
      <c r="H66" s="25">
        <v>1.4311</v>
      </c>
      <c r="I66" s="24">
        <v>373.2</v>
      </c>
      <c r="J66" s="23">
        <v>8.94</v>
      </c>
      <c r="K66" s="22">
        <v>212.85</v>
      </c>
      <c r="L66" s="19"/>
      <c r="M66" s="18">
        <f t="shared" si="4"/>
        <v>0</v>
      </c>
      <c r="N66" s="19"/>
      <c r="O66" s="16">
        <f t="shared" si="5"/>
        <v>0</v>
      </c>
      <c r="P66" s="19"/>
      <c r="Q66" s="16">
        <f t="shared" si="6"/>
        <v>0</v>
      </c>
      <c r="R66" s="31"/>
      <c r="S66" s="16">
        <f t="shared" si="7"/>
        <v>0</v>
      </c>
      <c r="U66" s="14">
        <f t="shared" si="8"/>
        <v>0</v>
      </c>
      <c r="X66" s="14">
        <f t="shared" si="9"/>
        <v>0</v>
      </c>
    </row>
    <row r="67" spans="1:24" ht="46.8" x14ac:dyDescent="0.25">
      <c r="A67" s="30" t="s">
        <v>44</v>
      </c>
      <c r="B67" s="27" t="s">
        <v>45</v>
      </c>
      <c r="C67" s="29">
        <f>'Исходные данные'!C33</f>
        <v>0</v>
      </c>
      <c r="D67" s="28">
        <f t="shared" si="2"/>
        <v>0</v>
      </c>
      <c r="E67" s="28">
        <f t="shared" si="3"/>
        <v>0</v>
      </c>
      <c r="F67" s="27">
        <v>0.97799999999999998</v>
      </c>
      <c r="G67" s="26">
        <v>48.109000000000002</v>
      </c>
      <c r="H67" s="25">
        <v>2.0449999999999999</v>
      </c>
      <c r="I67" s="24">
        <v>470</v>
      </c>
      <c r="J67" s="23">
        <v>7.23</v>
      </c>
      <c r="K67" s="22">
        <v>279.10000000000002</v>
      </c>
      <c r="L67" s="19"/>
      <c r="M67" s="18">
        <f t="shared" si="4"/>
        <v>0</v>
      </c>
      <c r="N67" s="19"/>
      <c r="O67" s="16">
        <f t="shared" si="5"/>
        <v>0</v>
      </c>
      <c r="P67" s="19"/>
      <c r="Q67" s="16">
        <f t="shared" si="6"/>
        <v>0</v>
      </c>
      <c r="R67" s="31"/>
      <c r="S67" s="16">
        <f t="shared" si="7"/>
        <v>0</v>
      </c>
      <c r="U67" s="14">
        <f t="shared" si="8"/>
        <v>0</v>
      </c>
      <c r="X67" s="14">
        <f t="shared" si="9"/>
        <v>0</v>
      </c>
    </row>
    <row r="68" spans="1:24" ht="31.2" x14ac:dyDescent="0.25">
      <c r="A68" s="30" t="s">
        <v>46</v>
      </c>
      <c r="B68" s="27" t="s">
        <v>47</v>
      </c>
      <c r="C68" s="29">
        <f>'Исходные данные'!C34</f>
        <v>0</v>
      </c>
      <c r="D68" s="28">
        <f t="shared" si="2"/>
        <v>0</v>
      </c>
      <c r="E68" s="28">
        <f t="shared" si="3"/>
        <v>0</v>
      </c>
      <c r="F68" s="27">
        <v>0.98</v>
      </c>
      <c r="G68" s="26">
        <v>64.064999999999998</v>
      </c>
      <c r="H68" s="25">
        <v>2.718</v>
      </c>
      <c r="I68" s="24">
        <v>430.8</v>
      </c>
      <c r="J68" s="23">
        <v>7.8840000000000003</v>
      </c>
      <c r="K68" s="22">
        <v>263.14999999999998</v>
      </c>
      <c r="L68" s="19"/>
      <c r="M68" s="18">
        <f t="shared" si="4"/>
        <v>0</v>
      </c>
      <c r="N68" s="19"/>
      <c r="O68" s="16">
        <f t="shared" si="5"/>
        <v>0</v>
      </c>
      <c r="P68" s="19"/>
      <c r="Q68" s="16">
        <f t="shared" si="6"/>
        <v>0</v>
      </c>
      <c r="R68" s="31"/>
      <c r="S68" s="16">
        <f t="shared" si="7"/>
        <v>0</v>
      </c>
      <c r="U68" s="14">
        <f t="shared" si="8"/>
        <v>0</v>
      </c>
      <c r="X68" s="14">
        <f t="shared" si="9"/>
        <v>0</v>
      </c>
    </row>
    <row r="69" spans="1:24" ht="15.6" x14ac:dyDescent="0.25">
      <c r="A69" s="30" t="s">
        <v>48</v>
      </c>
      <c r="B69" s="27" t="s">
        <v>49</v>
      </c>
      <c r="C69" s="29">
        <f>'Исходные данные'!C35</f>
        <v>1.0000000000000001E-5</v>
      </c>
      <c r="D69" s="28">
        <f t="shared" si="2"/>
        <v>1.0000000000000001E-7</v>
      </c>
      <c r="E69" s="28">
        <f t="shared" si="3"/>
        <v>9.9735240423346746E-8</v>
      </c>
      <c r="F69" s="27">
        <v>1.0004999999999999</v>
      </c>
      <c r="G69" s="26">
        <v>4.0030000000000001</v>
      </c>
      <c r="H69" s="25">
        <v>0.1663</v>
      </c>
      <c r="I69" s="24">
        <v>5.19</v>
      </c>
      <c r="J69" s="23">
        <v>0.22700000000000001</v>
      </c>
      <c r="K69" s="22">
        <v>4.21</v>
      </c>
      <c r="L69" s="19"/>
      <c r="M69" s="18">
        <f t="shared" si="4"/>
        <v>5.1900000000000013E-7</v>
      </c>
      <c r="N69" s="19"/>
      <c r="O69" s="16">
        <f t="shared" si="5"/>
        <v>2.2700000000000001E-8</v>
      </c>
      <c r="P69" s="19"/>
      <c r="Q69" s="16">
        <f t="shared" si="6"/>
        <v>4.0030000000000006E-7</v>
      </c>
      <c r="R69" s="31"/>
      <c r="S69" s="16">
        <f t="shared" si="7"/>
        <v>9.9950024987506267E-8</v>
      </c>
      <c r="U69" s="14">
        <f t="shared" si="8"/>
        <v>1.6630000000000001E-8</v>
      </c>
      <c r="X69" s="14">
        <f t="shared" si="9"/>
        <v>9.9685397724484505E-8</v>
      </c>
    </row>
    <row r="70" spans="1:24" ht="15.6" x14ac:dyDescent="0.25">
      <c r="A70" s="30" t="s">
        <v>50</v>
      </c>
      <c r="B70" s="27" t="s">
        <v>51</v>
      </c>
      <c r="C70" s="29">
        <f>'Исходные данные'!C36</f>
        <v>0</v>
      </c>
      <c r="D70" s="28">
        <f t="shared" si="2"/>
        <v>0</v>
      </c>
      <c r="E70" s="28">
        <f t="shared" si="3"/>
        <v>0</v>
      </c>
      <c r="F70" s="27">
        <v>1.0004999999999999</v>
      </c>
      <c r="G70" s="26">
        <v>20.18</v>
      </c>
      <c r="H70" s="25">
        <v>0.83850000000000002</v>
      </c>
      <c r="I70" s="24">
        <v>44.4</v>
      </c>
      <c r="J70" s="23">
        <v>2.76</v>
      </c>
      <c r="K70" s="22">
        <v>27.09</v>
      </c>
      <c r="L70" s="19"/>
      <c r="M70" s="18">
        <f t="shared" si="4"/>
        <v>0</v>
      </c>
      <c r="N70" s="19"/>
      <c r="O70" s="16">
        <f t="shared" si="5"/>
        <v>0</v>
      </c>
      <c r="P70" s="19"/>
      <c r="Q70" s="16">
        <f t="shared" si="6"/>
        <v>0</v>
      </c>
      <c r="R70" s="31"/>
      <c r="S70" s="16">
        <f t="shared" si="7"/>
        <v>0</v>
      </c>
      <c r="U70" s="14">
        <f t="shared" si="8"/>
        <v>0</v>
      </c>
      <c r="X70" s="14">
        <f t="shared" si="9"/>
        <v>0</v>
      </c>
    </row>
    <row r="71" spans="1:24" ht="15.6" x14ac:dyDescent="0.25">
      <c r="A71" s="30" t="s">
        <v>52</v>
      </c>
      <c r="B71" s="27" t="s">
        <v>53</v>
      </c>
      <c r="C71" s="29">
        <f>'Исходные данные'!C37</f>
        <v>0</v>
      </c>
      <c r="D71" s="28">
        <f t="shared" si="2"/>
        <v>0</v>
      </c>
      <c r="E71" s="28">
        <f t="shared" si="3"/>
        <v>0</v>
      </c>
      <c r="F71" s="27">
        <v>0.99929999999999997</v>
      </c>
      <c r="G71" s="26">
        <v>39.948</v>
      </c>
      <c r="H71" s="25">
        <v>1.6617999999999999</v>
      </c>
      <c r="I71" s="24">
        <v>150.65</v>
      </c>
      <c r="J71" s="23">
        <v>4.8659999999999997</v>
      </c>
      <c r="K71" s="22">
        <v>87.29</v>
      </c>
      <c r="L71" s="19"/>
      <c r="M71" s="18">
        <f t="shared" si="4"/>
        <v>0</v>
      </c>
      <c r="N71" s="19"/>
      <c r="O71" s="16">
        <f t="shared" si="5"/>
        <v>0</v>
      </c>
      <c r="P71" s="19"/>
      <c r="Q71" s="16">
        <f t="shared" si="6"/>
        <v>0</v>
      </c>
      <c r="R71" s="31"/>
      <c r="S71" s="16">
        <f t="shared" si="7"/>
        <v>0</v>
      </c>
      <c r="U71" s="14">
        <f t="shared" si="8"/>
        <v>0</v>
      </c>
      <c r="X71" s="14">
        <f t="shared" si="9"/>
        <v>0</v>
      </c>
    </row>
    <row r="72" spans="1:24" ht="46.8" x14ac:dyDescent="0.25">
      <c r="A72" s="30" t="s">
        <v>54</v>
      </c>
      <c r="B72" s="27" t="s">
        <v>55</v>
      </c>
      <c r="C72" s="29">
        <f>'Исходные данные'!C38</f>
        <v>0</v>
      </c>
      <c r="D72" s="28">
        <f t="shared" si="2"/>
        <v>0</v>
      </c>
      <c r="E72" s="28">
        <f t="shared" si="3"/>
        <v>0</v>
      </c>
      <c r="F72" s="27">
        <v>0.99960000000000004</v>
      </c>
      <c r="G72" s="26">
        <v>28.01</v>
      </c>
      <c r="H72" s="25">
        <v>1.1649</v>
      </c>
      <c r="I72" s="24">
        <v>132.85</v>
      </c>
      <c r="J72" s="23">
        <v>3.4940000000000002</v>
      </c>
      <c r="K72" s="22">
        <v>81.650000000000006</v>
      </c>
      <c r="L72" s="19"/>
      <c r="M72" s="18">
        <f t="shared" si="4"/>
        <v>0</v>
      </c>
      <c r="N72" s="19"/>
      <c r="O72" s="16">
        <f t="shared" si="5"/>
        <v>0</v>
      </c>
      <c r="P72" s="19"/>
      <c r="Q72" s="16">
        <f t="shared" si="6"/>
        <v>0</v>
      </c>
      <c r="R72" s="31"/>
      <c r="S72" s="16">
        <f t="shared" si="7"/>
        <v>0</v>
      </c>
      <c r="U72" s="14">
        <f t="shared" si="8"/>
        <v>0</v>
      </c>
      <c r="X72" s="14">
        <f t="shared" si="9"/>
        <v>0</v>
      </c>
    </row>
    <row r="73" spans="1:24" ht="15.6" x14ac:dyDescent="0.25">
      <c r="A73" s="30" t="s">
        <v>56</v>
      </c>
      <c r="B73" s="27" t="s">
        <v>57</v>
      </c>
      <c r="C73" s="29">
        <f>'Исходные данные'!C39</f>
        <v>0.193909</v>
      </c>
      <c r="D73" s="28">
        <f>C73/100</f>
        <v>1.9390900000000001E-3</v>
      </c>
      <c r="E73" s="28">
        <f t="shared" si="3"/>
        <v>1.9355037026726383E-3</v>
      </c>
      <c r="F73" s="27">
        <v>0.99970000000000003</v>
      </c>
      <c r="G73" s="26">
        <v>28.013999999999999</v>
      </c>
      <c r="H73" s="25">
        <v>1.1649</v>
      </c>
      <c r="I73" s="24">
        <v>126.2</v>
      </c>
      <c r="J73" s="23">
        <v>3.39</v>
      </c>
      <c r="K73" s="22">
        <v>77.349999999999994</v>
      </c>
      <c r="L73" s="19"/>
      <c r="M73" s="18">
        <f t="shared" si="4"/>
        <v>0.24471315800000001</v>
      </c>
      <c r="N73" s="19"/>
      <c r="O73" s="16">
        <f t="shared" si="5"/>
        <v>6.5735151000000007E-3</v>
      </c>
      <c r="P73" s="19"/>
      <c r="Q73" s="16">
        <f t="shared" si="6"/>
        <v>5.4321667259999998E-2</v>
      </c>
      <c r="R73" s="31"/>
      <c r="S73" s="16">
        <f t="shared" si="7"/>
        <v>1.9396719015704711E-3</v>
      </c>
      <c r="U73" s="14">
        <f t="shared" si="8"/>
        <v>2.2588459410000004E-3</v>
      </c>
      <c r="X73" s="14">
        <f t="shared" si="9"/>
        <v>1.9360845280310475E-3</v>
      </c>
    </row>
    <row r="74" spans="1:24" ht="15.6" x14ac:dyDescent="0.25">
      <c r="A74" s="30" t="s">
        <v>58</v>
      </c>
      <c r="B74" s="27"/>
      <c r="C74" s="29">
        <f>'Исходные данные'!C40</f>
        <v>0</v>
      </c>
      <c r="D74" s="28">
        <f t="shared" si="2"/>
        <v>0</v>
      </c>
      <c r="E74" s="28">
        <f t="shared" si="3"/>
        <v>0</v>
      </c>
      <c r="F74" s="27">
        <v>0.99963000000000002</v>
      </c>
      <c r="G74" s="26">
        <v>28.963000000000001</v>
      </c>
      <c r="H74" s="25">
        <v>1.2044999999999999</v>
      </c>
      <c r="I74" s="24">
        <v>132.5</v>
      </c>
      <c r="J74" s="23">
        <v>3.766</v>
      </c>
      <c r="K74" s="22">
        <v>78.849999999999994</v>
      </c>
      <c r="L74" s="19"/>
      <c r="M74" s="18">
        <f t="shared" si="4"/>
        <v>0</v>
      </c>
      <c r="N74" s="19"/>
      <c r="O74" s="16">
        <f t="shared" si="5"/>
        <v>0</v>
      </c>
      <c r="P74" s="19"/>
      <c r="Q74" s="16">
        <f t="shared" si="6"/>
        <v>0</v>
      </c>
      <c r="S74" s="16">
        <f t="shared" si="7"/>
        <v>0</v>
      </c>
      <c r="U74" s="14">
        <f t="shared" si="8"/>
        <v>0</v>
      </c>
      <c r="X74" s="14">
        <f t="shared" si="9"/>
        <v>0</v>
      </c>
    </row>
    <row r="75" spans="1:24" ht="31.2" x14ac:dyDescent="0.25">
      <c r="A75" s="30" t="s">
        <v>59</v>
      </c>
      <c r="B75" s="27" t="s">
        <v>60</v>
      </c>
      <c r="C75" s="29">
        <f>'Исходные данные'!C41</f>
        <v>1.0000000000000001E-5</v>
      </c>
      <c r="D75" s="28">
        <f t="shared" si="2"/>
        <v>1.0000000000000001E-7</v>
      </c>
      <c r="E75" s="28">
        <f t="shared" si="3"/>
        <v>9.985500654814211E-8</v>
      </c>
      <c r="F75" s="27">
        <v>0.99929999999999997</v>
      </c>
      <c r="G75" s="26">
        <v>31.998999999999999</v>
      </c>
      <c r="H75" s="25">
        <v>1.3311999999999999</v>
      </c>
      <c r="I75" s="24">
        <v>154.58000000000001</v>
      </c>
      <c r="J75" s="23">
        <v>5.0430000000000001</v>
      </c>
      <c r="K75" s="22">
        <v>90.19</v>
      </c>
      <c r="L75" s="19"/>
      <c r="M75" s="18">
        <f t="shared" si="4"/>
        <v>1.5458000000000003E-5</v>
      </c>
      <c r="N75" s="19"/>
      <c r="O75" s="16">
        <f t="shared" si="5"/>
        <v>5.0430000000000009E-7</v>
      </c>
      <c r="P75" s="19"/>
      <c r="Q75" s="16">
        <f t="shared" si="6"/>
        <v>3.1999000000000001E-6</v>
      </c>
      <c r="S75" s="16">
        <f t="shared" si="7"/>
        <v>1.0007004903432404E-7</v>
      </c>
      <c r="U75" s="14">
        <f t="shared" si="8"/>
        <v>1.3312000000000002E-7</v>
      </c>
      <c r="X75" s="14">
        <f t="shared" si="9"/>
        <v>9.9924954015953278E-8</v>
      </c>
    </row>
    <row r="76" spans="1:24" ht="31.2" x14ac:dyDescent="0.25">
      <c r="A76" s="30" t="s">
        <v>61</v>
      </c>
      <c r="B76" s="27" t="s">
        <v>62</v>
      </c>
      <c r="C76" s="29">
        <f>'Исходные данные'!C42</f>
        <v>0.84052000000000004</v>
      </c>
      <c r="D76" s="28">
        <f t="shared" si="2"/>
        <v>8.4051999999999998E-3</v>
      </c>
      <c r="E76" s="28">
        <f t="shared" si="3"/>
        <v>8.4318265821626322E-3</v>
      </c>
      <c r="F76" s="27">
        <v>0.99470000000000003</v>
      </c>
      <c r="G76" s="26">
        <v>44.01</v>
      </c>
      <c r="H76" s="25">
        <v>1.8392999999999999</v>
      </c>
      <c r="I76" s="24">
        <v>304.2</v>
      </c>
      <c r="J76" s="23">
        <v>7.3860000000000001</v>
      </c>
      <c r="K76" s="22">
        <v>194.65</v>
      </c>
      <c r="L76" s="19"/>
      <c r="M76" s="18">
        <f t="shared" si="4"/>
        <v>2.5568618399999998</v>
      </c>
      <c r="N76" s="19"/>
      <c r="O76" s="16">
        <f t="shared" si="5"/>
        <v>6.2080807199999997E-2</v>
      </c>
      <c r="P76" s="19"/>
      <c r="Q76" s="16">
        <f t="shared" si="6"/>
        <v>0.36991285199999996</v>
      </c>
      <c r="S76" s="16">
        <f t="shared" si="7"/>
        <v>8.4499849200764046E-3</v>
      </c>
      <c r="U76" s="14">
        <f t="shared" si="8"/>
        <v>1.545968436E-2</v>
      </c>
      <c r="X76" s="14">
        <f t="shared" si="9"/>
        <v>8.4767533750503988E-3</v>
      </c>
    </row>
    <row r="77" spans="1:24" ht="15.6" x14ac:dyDescent="0.25">
      <c r="A77" s="19"/>
      <c r="B77" s="19"/>
      <c r="C77" s="19"/>
      <c r="D77" s="21">
        <f>SUM(D47:D76)</f>
        <v>0.99931596999999983</v>
      </c>
      <c r="E77" s="20">
        <f>SUM(E47:E76)</f>
        <v>1</v>
      </c>
      <c r="G77" s="19"/>
      <c r="H77" s="19"/>
      <c r="I77" s="19"/>
      <c r="J77" s="19"/>
      <c r="K77" s="19"/>
      <c r="L77" s="17" t="s">
        <v>84</v>
      </c>
      <c r="M77" s="18">
        <f>SUM(M47:M76)</f>
        <v>201.96675514020004</v>
      </c>
      <c r="N77" s="17" t="s">
        <v>83</v>
      </c>
      <c r="O77" s="16">
        <f>SUM(O47:O76)</f>
        <v>4.6125251138800003</v>
      </c>
      <c r="P77" s="17" t="s">
        <v>82</v>
      </c>
      <c r="Q77" s="16">
        <f>SUM(Q47:Q76)</f>
        <v>17.876479258460002</v>
      </c>
      <c r="S77" s="15">
        <f>SUM(S47:S76)</f>
        <v>1.0021535473644805</v>
      </c>
      <c r="U77" s="14">
        <f>SUM(U47:U76)</f>
        <v>0.74644025039100015</v>
      </c>
      <c r="X77" s="14">
        <f>SUM(X47:X76)</f>
        <v>1.0028602259781179</v>
      </c>
    </row>
  </sheetData>
  <mergeCells count="8">
    <mergeCell ref="A3:F3"/>
    <mergeCell ref="G3:I3"/>
    <mergeCell ref="J3:O3"/>
    <mergeCell ref="B1:F1"/>
    <mergeCell ref="K1:O1"/>
    <mergeCell ref="A2:B2"/>
    <mergeCell ref="G2:I2"/>
    <mergeCell ref="J2:K2"/>
  </mergeCells>
  <printOptions horizontalCentered="1"/>
  <pageMargins left="0.39374999999999999" right="0.196527777777778" top="0.39374999999999999" bottom="0.196527777777778" header="0.51180555555555496" footer="0.51180555555555496"/>
  <pageSetup paperSize="9" firstPageNumber="0" orientation="portrait" r:id="rId1"/>
  <rowBreaks count="1" manualBreakCount="1">
    <brk id="37" max="16383" man="1"/>
  </rowBreaks>
  <colBreaks count="2" manualBreakCount="2">
    <brk id="6" max="1048575" man="1"/>
    <brk id="1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>
    <pageSetUpPr fitToPage="1"/>
  </sheetPr>
  <dimension ref="A1:AMK96"/>
  <sheetViews>
    <sheetView zoomScale="80" zoomScaleNormal="80" workbookViewId="0">
      <selection activeCell="G8" sqref="G8"/>
    </sheetView>
  </sheetViews>
  <sheetFormatPr defaultColWidth="9.109375" defaultRowHeight="17.399999999999999" x14ac:dyDescent="0.3"/>
  <cols>
    <col min="1" max="1" width="9.109375" style="158"/>
    <col min="2" max="2" width="10" style="158" customWidth="1"/>
    <col min="3" max="3" width="78.5546875" style="158" customWidth="1"/>
    <col min="4" max="4" width="26.44140625" style="158" customWidth="1"/>
    <col min="5" max="5" width="25.6640625" style="158" customWidth="1"/>
    <col min="6" max="6" width="27.33203125" style="158" customWidth="1"/>
    <col min="7" max="7" width="30.5546875" style="158" customWidth="1"/>
    <col min="8" max="1025" width="9.109375" style="158"/>
    <col min="1026" max="16384" width="9.109375" style="13"/>
  </cols>
  <sheetData>
    <row r="1" spans="2:15" ht="15.45" customHeight="1" x14ac:dyDescent="0.3">
      <c r="B1" s="243" t="s">
        <v>310</v>
      </c>
      <c r="C1" s="243"/>
      <c r="D1" s="243"/>
      <c r="E1" s="243"/>
      <c r="F1" s="243"/>
      <c r="G1" s="243"/>
      <c r="H1" s="13"/>
      <c r="I1" s="13"/>
      <c r="J1" s="13"/>
      <c r="K1" s="13"/>
      <c r="L1" s="13"/>
      <c r="M1" s="13"/>
      <c r="N1" s="13"/>
      <c r="O1" s="13"/>
    </row>
    <row r="2" spans="2:15" ht="17.399999999999999" customHeight="1" x14ac:dyDescent="0.3">
      <c r="B2" s="243"/>
      <c r="C2" s="243"/>
      <c r="D2" s="243"/>
      <c r="E2" s="243"/>
      <c r="F2" s="243"/>
      <c r="G2" s="243"/>
      <c r="H2" s="13"/>
      <c r="I2" s="13"/>
      <c r="J2" s="13"/>
      <c r="K2" s="13"/>
      <c r="L2" s="13"/>
      <c r="M2" s="13"/>
      <c r="N2" s="13"/>
      <c r="O2" s="13"/>
    </row>
    <row r="3" spans="2:15" ht="34.950000000000003" customHeight="1" x14ac:dyDescent="0.3">
      <c r="B3" s="186" t="s">
        <v>249</v>
      </c>
      <c r="C3" s="183" t="s">
        <v>159</v>
      </c>
      <c r="D3" s="185" t="s">
        <v>158</v>
      </c>
      <c r="E3" s="184" t="s">
        <v>157</v>
      </c>
      <c r="F3" s="183" t="s">
        <v>2</v>
      </c>
      <c r="G3" s="183" t="s">
        <v>156</v>
      </c>
      <c r="H3" s="13"/>
      <c r="I3" s="13"/>
      <c r="J3" s="13"/>
      <c r="K3" s="13"/>
      <c r="L3" s="13"/>
      <c r="M3" s="13"/>
      <c r="N3" s="13"/>
      <c r="O3" s="13"/>
    </row>
    <row r="4" spans="2:15" ht="24.75" customHeight="1" x14ac:dyDescent="0.35">
      <c r="B4" s="131">
        <f>1</f>
        <v>1</v>
      </c>
      <c r="C4" s="181" t="s">
        <v>244</v>
      </c>
      <c r="D4" s="131" t="s">
        <v>309</v>
      </c>
      <c r="E4" s="131" t="s">
        <v>308</v>
      </c>
      <c r="F4" s="131" t="s">
        <v>146</v>
      </c>
      <c r="G4" s="194">
        <f>'Тепл баланс'!F8</f>
        <v>190000</v>
      </c>
      <c r="H4" s="182"/>
      <c r="I4" s="182"/>
      <c r="J4" s="182"/>
      <c r="K4" s="182"/>
      <c r="L4" s="13"/>
      <c r="M4" s="13"/>
      <c r="N4" s="13"/>
      <c r="O4" s="13"/>
    </row>
    <row r="5" spans="2:15" ht="23.25" customHeight="1" x14ac:dyDescent="0.35">
      <c r="B5" s="131">
        <f t="shared" ref="B5:B34" si="0">B4+1</f>
        <v>2</v>
      </c>
      <c r="C5" s="181" t="s">
        <v>307</v>
      </c>
      <c r="D5" s="131" t="s">
        <v>306</v>
      </c>
      <c r="E5" s="178" t="s">
        <v>288</v>
      </c>
      <c r="F5" s="131" t="s">
        <v>146</v>
      </c>
      <c r="G5" s="124">
        <f>'Тепл баланс'!F9</f>
        <v>0</v>
      </c>
      <c r="H5" s="182"/>
      <c r="I5" s="182"/>
      <c r="J5" s="182"/>
      <c r="K5" s="182"/>
      <c r="L5" s="13"/>
      <c r="M5" s="13"/>
      <c r="N5" s="13"/>
      <c r="O5" s="13"/>
    </row>
    <row r="6" spans="2:15" ht="21" customHeight="1" x14ac:dyDescent="0.35">
      <c r="B6" s="131">
        <f t="shared" si="0"/>
        <v>3</v>
      </c>
      <c r="C6" s="181" t="s">
        <v>305</v>
      </c>
      <c r="D6" s="131" t="s">
        <v>304</v>
      </c>
      <c r="E6" s="178" t="s">
        <v>288</v>
      </c>
      <c r="F6" s="131" t="s">
        <v>146</v>
      </c>
      <c r="G6" s="124">
        <f>'Тепл баланс'!F10</f>
        <v>37.200000000000003</v>
      </c>
      <c r="H6" s="130"/>
      <c r="I6" s="130"/>
      <c r="J6" s="130"/>
      <c r="K6" s="130"/>
      <c r="L6" s="13"/>
      <c r="M6" s="13"/>
      <c r="N6" s="13"/>
      <c r="O6" s="13"/>
    </row>
    <row r="7" spans="2:15" ht="22.5" customHeight="1" x14ac:dyDescent="0.35">
      <c r="B7" s="131">
        <f t="shared" si="0"/>
        <v>4</v>
      </c>
      <c r="C7" s="181" t="s">
        <v>303</v>
      </c>
      <c r="D7" s="131" t="s">
        <v>302</v>
      </c>
      <c r="E7" s="131" t="s">
        <v>301</v>
      </c>
      <c r="F7" s="131"/>
      <c r="G7" s="180">
        <f>Свхвыхкот!F23</f>
        <v>0.51100000000000001</v>
      </c>
      <c r="H7" s="130"/>
      <c r="I7" s="130"/>
      <c r="J7" s="130"/>
      <c r="K7" s="130"/>
      <c r="L7" s="13"/>
      <c r="M7" s="13"/>
      <c r="N7" s="13"/>
      <c r="O7" s="13"/>
    </row>
    <row r="8" spans="2:15" ht="21" customHeight="1" x14ac:dyDescent="0.35">
      <c r="B8" s="131">
        <f t="shared" si="0"/>
        <v>5</v>
      </c>
      <c r="C8" s="181" t="s">
        <v>300</v>
      </c>
      <c r="D8" s="131" t="s">
        <v>299</v>
      </c>
      <c r="E8" s="131" t="s">
        <v>123</v>
      </c>
      <c r="F8" s="131"/>
      <c r="G8" s="180">
        <f>Свхвыхкот!O23</f>
        <v>0.36499999999999999</v>
      </c>
      <c r="H8" s="130"/>
      <c r="I8" s="130"/>
      <c r="J8" s="130"/>
      <c r="K8" s="130"/>
      <c r="L8" s="13"/>
      <c r="M8" s="13"/>
      <c r="N8" s="13"/>
      <c r="O8" s="13"/>
    </row>
    <row r="9" spans="2:15" ht="22.5" customHeight="1" x14ac:dyDescent="0.3">
      <c r="B9" s="131">
        <f t="shared" si="0"/>
        <v>6</v>
      </c>
      <c r="C9" s="176" t="s">
        <v>298</v>
      </c>
      <c r="D9" s="55" t="s">
        <v>297</v>
      </c>
      <c r="E9" s="179" t="s">
        <v>296</v>
      </c>
      <c r="F9" s="55" t="s">
        <v>295</v>
      </c>
      <c r="G9" s="175">
        <f>G4*(G6-G5)*Свх!O23</f>
        <v>3526932.0000000005</v>
      </c>
      <c r="H9" s="130"/>
      <c r="I9" s="130"/>
      <c r="J9" s="130"/>
      <c r="K9" s="130"/>
      <c r="L9" s="13"/>
      <c r="M9" s="13"/>
      <c r="N9" s="13"/>
      <c r="O9" s="13"/>
    </row>
    <row r="10" spans="2:15" ht="20.25" customHeight="1" x14ac:dyDescent="0.3">
      <c r="B10" s="131">
        <f t="shared" si="0"/>
        <v>7</v>
      </c>
      <c r="C10" s="176" t="s">
        <v>294</v>
      </c>
      <c r="D10" s="55" t="s">
        <v>293</v>
      </c>
      <c r="E10" s="178" t="s">
        <v>288</v>
      </c>
      <c r="F10" s="131" t="s">
        <v>146</v>
      </c>
      <c r="G10" s="124">
        <f>95</f>
        <v>95</v>
      </c>
      <c r="H10" s="130"/>
      <c r="I10" s="125"/>
      <c r="J10" s="130"/>
      <c r="K10" s="130"/>
      <c r="L10" s="13"/>
      <c r="M10" s="13"/>
      <c r="N10" s="13"/>
      <c r="O10" s="13"/>
    </row>
    <row r="11" spans="2:15" ht="21.75" customHeight="1" x14ac:dyDescent="0.3">
      <c r="B11" s="131">
        <f t="shared" si="0"/>
        <v>8</v>
      </c>
      <c r="C11" s="176" t="s">
        <v>292</v>
      </c>
      <c r="D11" s="55" t="s">
        <v>291</v>
      </c>
      <c r="E11" s="178" t="s">
        <v>288</v>
      </c>
      <c r="F11" s="131" t="s">
        <v>146</v>
      </c>
      <c r="G11" s="124">
        <v>70</v>
      </c>
      <c r="H11" s="130"/>
      <c r="I11" s="125"/>
      <c r="J11" s="130"/>
      <c r="K11" s="130"/>
      <c r="L11" s="13"/>
      <c r="M11" s="13"/>
      <c r="N11" s="13"/>
      <c r="O11" s="13"/>
    </row>
    <row r="12" spans="2:15" ht="24" customHeight="1" x14ac:dyDescent="0.3">
      <c r="B12" s="131">
        <f t="shared" si="0"/>
        <v>9</v>
      </c>
      <c r="C12" s="176" t="s">
        <v>290</v>
      </c>
      <c r="D12" s="55" t="s">
        <v>289</v>
      </c>
      <c r="E12" s="178" t="s">
        <v>288</v>
      </c>
      <c r="F12" s="55" t="s">
        <v>287</v>
      </c>
      <c r="G12" s="177">
        <f>(G10+G11)/2</f>
        <v>82.5</v>
      </c>
      <c r="H12" s="130"/>
      <c r="I12" s="125"/>
      <c r="J12" s="130"/>
      <c r="K12" s="130"/>
      <c r="L12" s="13"/>
      <c r="M12" s="13"/>
      <c r="N12" s="13"/>
      <c r="O12" s="13"/>
    </row>
    <row r="13" spans="2:15" ht="24" customHeight="1" x14ac:dyDescent="0.3">
      <c r="B13" s="131">
        <f t="shared" si="0"/>
        <v>10</v>
      </c>
      <c r="C13" s="176" t="s">
        <v>286</v>
      </c>
      <c r="D13" s="55" t="s">
        <v>285</v>
      </c>
      <c r="E13" s="132" t="s">
        <v>284</v>
      </c>
      <c r="F13" s="55" t="s">
        <v>283</v>
      </c>
      <c r="G13" s="177">
        <v>236580</v>
      </c>
      <c r="H13" s="130"/>
      <c r="I13" s="125"/>
      <c r="J13" s="130"/>
      <c r="K13" s="130"/>
      <c r="L13" s="13"/>
      <c r="M13" s="13"/>
      <c r="N13" s="13"/>
      <c r="O13" s="13"/>
    </row>
    <row r="14" spans="2:15" ht="20.25" customHeight="1" x14ac:dyDescent="0.3">
      <c r="B14" s="131">
        <f t="shared" si="0"/>
        <v>11</v>
      </c>
      <c r="C14" s="176" t="s">
        <v>282</v>
      </c>
      <c r="D14" s="55" t="s">
        <v>281</v>
      </c>
      <c r="E14" s="132" t="s">
        <v>223</v>
      </c>
      <c r="F14" s="55" t="s">
        <v>280</v>
      </c>
      <c r="G14" s="177">
        <v>221.51685393258427</v>
      </c>
      <c r="H14" s="130"/>
      <c r="I14" s="125"/>
      <c r="J14" s="130"/>
      <c r="K14" s="130"/>
      <c r="L14" s="13"/>
      <c r="M14" s="13"/>
      <c r="N14" s="13"/>
      <c r="O14" s="13"/>
    </row>
    <row r="15" spans="2:15" ht="21.75" customHeight="1" x14ac:dyDescent="0.3">
      <c r="B15" s="131">
        <f t="shared" si="0"/>
        <v>12</v>
      </c>
      <c r="C15" s="176" t="s">
        <v>279</v>
      </c>
      <c r="D15" s="55" t="s">
        <v>278</v>
      </c>
      <c r="E15" s="132" t="s">
        <v>277</v>
      </c>
      <c r="F15" s="55" t="s">
        <v>276</v>
      </c>
      <c r="G15" s="175">
        <f>G14/3600</f>
        <v>6.1532459425717854E-2</v>
      </c>
      <c r="H15" s="130"/>
      <c r="I15" s="125"/>
      <c r="J15" s="130"/>
      <c r="K15" s="130"/>
      <c r="L15" s="13"/>
      <c r="M15" s="13"/>
      <c r="N15" s="13"/>
      <c r="O15" s="13"/>
    </row>
    <row r="16" spans="2:15" ht="21.75" customHeight="1" x14ac:dyDescent="0.3">
      <c r="B16" s="131">
        <f t="shared" si="0"/>
        <v>13</v>
      </c>
      <c r="C16" s="133" t="s">
        <v>275</v>
      </c>
      <c r="D16" s="131" t="s">
        <v>258</v>
      </c>
      <c r="E16" s="131" t="s">
        <v>255</v>
      </c>
      <c r="F16" s="131" t="s">
        <v>146</v>
      </c>
      <c r="G16" s="131">
        <v>0.108</v>
      </c>
      <c r="H16" s="130"/>
      <c r="I16" s="125"/>
      <c r="J16" s="130"/>
      <c r="K16" s="130"/>
      <c r="L16" s="13"/>
      <c r="M16" s="13"/>
      <c r="N16" s="13"/>
      <c r="O16" s="13"/>
    </row>
    <row r="17" spans="2:15" ht="21.75" customHeight="1" x14ac:dyDescent="0.35">
      <c r="B17" s="131">
        <f t="shared" si="0"/>
        <v>14</v>
      </c>
      <c r="C17" s="133" t="s">
        <v>274</v>
      </c>
      <c r="D17" s="174" t="s">
        <v>256</v>
      </c>
      <c r="E17" s="131" t="s">
        <v>255</v>
      </c>
      <c r="F17" s="131" t="s">
        <v>146</v>
      </c>
      <c r="G17" s="131">
        <v>4.0000000000000001E-3</v>
      </c>
      <c r="H17" s="130"/>
      <c r="I17" s="125"/>
      <c r="J17" s="130"/>
      <c r="K17" s="130"/>
      <c r="L17" s="13"/>
      <c r="M17" s="13"/>
      <c r="N17" s="13"/>
      <c r="O17" s="13"/>
    </row>
    <row r="18" spans="2:15" ht="21.75" customHeight="1" x14ac:dyDescent="0.3">
      <c r="B18" s="131">
        <f t="shared" si="0"/>
        <v>15</v>
      </c>
      <c r="C18" s="133" t="s">
        <v>273</v>
      </c>
      <c r="D18" s="131"/>
      <c r="E18" s="131" t="s">
        <v>253</v>
      </c>
      <c r="F18" s="131" t="s">
        <v>99</v>
      </c>
      <c r="G18" s="131">
        <f>0.785*(G16-2*G17)^2</f>
        <v>7.8500000000000011E-3</v>
      </c>
      <c r="H18" s="130"/>
      <c r="I18" s="125"/>
      <c r="J18" s="130"/>
      <c r="K18" s="130"/>
      <c r="L18" s="13"/>
      <c r="M18" s="13"/>
      <c r="N18" s="13"/>
      <c r="O18" s="13"/>
    </row>
    <row r="19" spans="2:15" ht="21" customHeight="1" x14ac:dyDescent="0.4">
      <c r="B19" s="131">
        <f t="shared" si="0"/>
        <v>16</v>
      </c>
      <c r="C19" s="133" t="s">
        <v>272</v>
      </c>
      <c r="D19" s="131" t="s">
        <v>271</v>
      </c>
      <c r="E19" s="131" t="s">
        <v>250</v>
      </c>
      <c r="F19" s="131" t="s">
        <v>99</v>
      </c>
      <c r="G19" s="131">
        <f>G15/G18</f>
        <v>7.8385298631487705</v>
      </c>
      <c r="H19" s="130"/>
      <c r="I19" s="125"/>
      <c r="J19" s="130"/>
      <c r="K19" s="130"/>
      <c r="L19" s="13"/>
      <c r="M19" s="13"/>
      <c r="N19" s="13"/>
      <c r="O19" s="13"/>
    </row>
    <row r="20" spans="2:15" ht="21" customHeight="1" x14ac:dyDescent="0.35">
      <c r="B20" s="131">
        <f t="shared" si="0"/>
        <v>17</v>
      </c>
      <c r="C20" s="133" t="s">
        <v>270</v>
      </c>
      <c r="D20" s="174" t="s">
        <v>269</v>
      </c>
      <c r="E20" s="131" t="s">
        <v>99</v>
      </c>
      <c r="F20" s="131" t="s">
        <v>146</v>
      </c>
      <c r="G20" s="131">
        <v>0.92</v>
      </c>
      <c r="H20" s="13"/>
      <c r="I20" s="125"/>
      <c r="J20" s="130"/>
      <c r="K20" s="130"/>
      <c r="L20" s="13"/>
      <c r="M20" s="13" t="s">
        <v>311</v>
      </c>
      <c r="N20" s="13"/>
      <c r="O20" s="13"/>
    </row>
    <row r="21" spans="2:15" ht="21" customHeight="1" x14ac:dyDescent="0.3">
      <c r="B21" s="131">
        <f t="shared" si="0"/>
        <v>18</v>
      </c>
      <c r="C21" s="133" t="s">
        <v>268</v>
      </c>
      <c r="D21" s="131" t="s">
        <v>267</v>
      </c>
      <c r="E21" s="131" t="s">
        <v>266</v>
      </c>
      <c r="F21" s="131" t="s">
        <v>99</v>
      </c>
      <c r="G21" s="131">
        <v>1</v>
      </c>
      <c r="H21" s="130"/>
      <c r="I21" s="125"/>
      <c r="J21" s="130"/>
      <c r="K21" s="130"/>
      <c r="L21" s="13"/>
      <c r="M21" s="13"/>
      <c r="N21" s="13"/>
      <c r="O21" s="13"/>
    </row>
    <row r="22" spans="2:15" ht="19.5" customHeight="1" x14ac:dyDescent="0.3">
      <c r="B22" s="131">
        <f t="shared" si="0"/>
        <v>19</v>
      </c>
      <c r="C22" s="133" t="s">
        <v>265</v>
      </c>
      <c r="D22" s="131"/>
      <c r="E22" s="131" t="s">
        <v>264</v>
      </c>
      <c r="F22" s="131" t="s">
        <v>99</v>
      </c>
      <c r="G22" s="131">
        <f>('Тепл баланс'!F16/1.163)/(8500*0.92)*1000</f>
        <v>451.0339034114524</v>
      </c>
      <c r="H22" s="130"/>
      <c r="I22" s="125"/>
      <c r="J22" s="130"/>
      <c r="K22" s="130"/>
      <c r="L22" s="13"/>
      <c r="M22" s="13"/>
      <c r="N22" s="13"/>
      <c r="O22" s="13"/>
    </row>
    <row r="23" spans="2:15" ht="21" customHeight="1" x14ac:dyDescent="0.3">
      <c r="B23" s="131">
        <f t="shared" si="0"/>
        <v>20</v>
      </c>
      <c r="C23" s="133" t="s">
        <v>263</v>
      </c>
      <c r="D23" s="131" t="s">
        <v>258</v>
      </c>
      <c r="E23" s="131" t="s">
        <v>255</v>
      </c>
      <c r="F23" s="131" t="s">
        <v>146</v>
      </c>
      <c r="G23" s="131">
        <v>8.8999999999999996E-2</v>
      </c>
      <c r="H23" s="130"/>
      <c r="I23" s="125"/>
      <c r="J23" s="130"/>
      <c r="K23" s="130"/>
      <c r="L23" s="13"/>
      <c r="M23" s="13"/>
      <c r="N23" s="13"/>
      <c r="O23" s="13"/>
    </row>
    <row r="24" spans="2:15" ht="21" customHeight="1" x14ac:dyDescent="0.35">
      <c r="B24" s="131">
        <f t="shared" si="0"/>
        <v>21</v>
      </c>
      <c r="C24" s="133" t="s">
        <v>262</v>
      </c>
      <c r="D24" s="174" t="s">
        <v>256</v>
      </c>
      <c r="E24" s="131" t="s">
        <v>255</v>
      </c>
      <c r="F24" s="131" t="s">
        <v>146</v>
      </c>
      <c r="G24" s="131">
        <v>4.0000000000000001E-3</v>
      </c>
      <c r="H24" s="130"/>
      <c r="I24" s="125"/>
      <c r="J24" s="130"/>
      <c r="K24" s="130"/>
      <c r="L24" s="13"/>
      <c r="M24" s="13"/>
      <c r="N24" s="13"/>
      <c r="O24" s="13"/>
    </row>
    <row r="25" spans="2:15" ht="21" customHeight="1" x14ac:dyDescent="0.3">
      <c r="B25" s="131">
        <f t="shared" si="0"/>
        <v>22</v>
      </c>
      <c r="C25" s="133" t="s">
        <v>261</v>
      </c>
      <c r="D25" s="131"/>
      <c r="E25" s="131" t="s">
        <v>253</v>
      </c>
      <c r="F25" s="131" t="s">
        <v>99</v>
      </c>
      <c r="G25" s="131">
        <f>0.785*(G23-2*G24)^2</f>
        <v>5.1503849999999986E-3</v>
      </c>
      <c r="H25" s="130"/>
      <c r="I25" s="125"/>
      <c r="J25" s="130"/>
      <c r="K25" s="130"/>
      <c r="L25" s="13"/>
      <c r="M25" s="13"/>
      <c r="N25" s="13"/>
      <c r="O25" s="13"/>
    </row>
    <row r="26" spans="2:15" ht="19.5" customHeight="1" x14ac:dyDescent="0.4">
      <c r="B26" s="131">
        <f t="shared" si="0"/>
        <v>23</v>
      </c>
      <c r="C26" s="133" t="s">
        <v>260</v>
      </c>
      <c r="D26" s="131" t="s">
        <v>251</v>
      </c>
      <c r="E26" s="131" t="s">
        <v>250</v>
      </c>
      <c r="F26" s="131" t="s">
        <v>99</v>
      </c>
      <c r="G26" s="131">
        <f>G22/(3600*G25)</f>
        <v>24.325792225643355</v>
      </c>
      <c r="H26" s="130"/>
      <c r="I26" s="125"/>
      <c r="J26" s="130"/>
      <c r="K26" s="130"/>
      <c r="L26" s="13"/>
      <c r="M26" s="13"/>
      <c r="N26" s="13"/>
      <c r="O26" s="13"/>
    </row>
    <row r="27" spans="2:15" ht="24" customHeight="1" x14ac:dyDescent="0.3">
      <c r="B27" s="131">
        <f t="shared" si="0"/>
        <v>24</v>
      </c>
      <c r="C27" s="133" t="s">
        <v>259</v>
      </c>
      <c r="D27" s="131" t="s">
        <v>258</v>
      </c>
      <c r="E27" s="131" t="s">
        <v>255</v>
      </c>
      <c r="F27" s="131" t="s">
        <v>146</v>
      </c>
      <c r="G27" s="131">
        <v>8.8999999999999996E-2</v>
      </c>
      <c r="H27" s="130"/>
      <c r="I27" s="125"/>
      <c r="J27" s="130"/>
      <c r="K27" s="130"/>
      <c r="L27" s="13"/>
      <c r="M27" s="13"/>
      <c r="N27" s="13"/>
      <c r="O27" s="13"/>
    </row>
    <row r="28" spans="2:15" ht="24" customHeight="1" x14ac:dyDescent="0.35">
      <c r="B28" s="131">
        <f t="shared" si="0"/>
        <v>25</v>
      </c>
      <c r="C28" s="133" t="s">
        <v>257</v>
      </c>
      <c r="D28" s="174" t="s">
        <v>256</v>
      </c>
      <c r="E28" s="131" t="s">
        <v>255</v>
      </c>
      <c r="F28" s="131" t="s">
        <v>146</v>
      </c>
      <c r="G28" s="131">
        <v>4.0000000000000001E-3</v>
      </c>
      <c r="H28" s="130"/>
      <c r="I28" s="125"/>
      <c r="J28" s="130"/>
      <c r="K28" s="130"/>
      <c r="L28" s="13"/>
      <c r="M28" s="13"/>
      <c r="N28" s="13"/>
      <c r="O28" s="13"/>
    </row>
    <row r="29" spans="2:15" ht="24" customHeight="1" x14ac:dyDescent="0.3">
      <c r="B29" s="131">
        <f t="shared" si="0"/>
        <v>26</v>
      </c>
      <c r="C29" s="133" t="s">
        <v>254</v>
      </c>
      <c r="D29" s="131" t="s">
        <v>99</v>
      </c>
      <c r="E29" s="131" t="s">
        <v>253</v>
      </c>
      <c r="F29" s="131" t="s">
        <v>99</v>
      </c>
      <c r="G29" s="131">
        <f>0.785*(G27-2*G28)^2</f>
        <v>5.1503849999999986E-3</v>
      </c>
      <c r="H29" s="130"/>
      <c r="I29" s="125"/>
      <c r="J29" s="130"/>
      <c r="K29" s="130"/>
      <c r="L29" s="13"/>
      <c r="M29" s="13"/>
      <c r="N29" s="13"/>
      <c r="O29" s="13"/>
    </row>
    <row r="30" spans="2:15" ht="24" customHeight="1" x14ac:dyDescent="0.4">
      <c r="B30" s="131">
        <f t="shared" si="0"/>
        <v>27</v>
      </c>
      <c r="C30" s="133" t="s">
        <v>252</v>
      </c>
      <c r="D30" s="131" t="s">
        <v>251</v>
      </c>
      <c r="E30" s="131" t="s">
        <v>250</v>
      </c>
      <c r="F30" s="131" t="s">
        <v>99</v>
      </c>
      <c r="G30" s="131">
        <f>G22/(3600*G29*G21)</f>
        <v>24.325792225643355</v>
      </c>
      <c r="H30" s="130"/>
      <c r="I30" s="125"/>
      <c r="J30" s="130"/>
      <c r="K30" s="130"/>
      <c r="L30" s="13"/>
      <c r="M30" s="13"/>
      <c r="N30" s="13"/>
      <c r="O30" s="13"/>
    </row>
    <row r="31" spans="2:15" ht="24" customHeight="1" x14ac:dyDescent="0.3">
      <c r="B31" s="131">
        <f t="shared" si="0"/>
        <v>28</v>
      </c>
      <c r="C31" s="133"/>
      <c r="D31" s="131"/>
      <c r="E31" s="131"/>
      <c r="F31" s="131"/>
      <c r="G31" s="131"/>
      <c r="H31" s="130"/>
      <c r="I31" s="125"/>
      <c r="J31" s="130"/>
      <c r="K31" s="130"/>
      <c r="L31" s="13"/>
      <c r="M31" s="13"/>
      <c r="N31" s="13"/>
      <c r="O31" s="13"/>
    </row>
    <row r="32" spans="2:15" ht="24" customHeight="1" x14ac:dyDescent="0.3">
      <c r="B32" s="131">
        <f t="shared" si="0"/>
        <v>29</v>
      </c>
      <c r="C32" s="133"/>
      <c r="D32" s="131"/>
      <c r="E32" s="131"/>
      <c r="F32" s="131"/>
      <c r="G32" s="131"/>
      <c r="H32" s="130"/>
      <c r="I32" s="125"/>
      <c r="J32" s="130"/>
      <c r="K32" s="130"/>
      <c r="L32" s="13"/>
      <c r="M32" s="13"/>
      <c r="N32" s="13"/>
      <c r="O32" s="13"/>
    </row>
    <row r="33" spans="2:15" ht="24" customHeight="1" x14ac:dyDescent="0.3">
      <c r="B33" s="131">
        <f t="shared" si="0"/>
        <v>30</v>
      </c>
      <c r="C33" s="133"/>
      <c r="D33" s="131"/>
      <c r="E33" s="131"/>
      <c r="F33" s="131"/>
      <c r="G33" s="131"/>
      <c r="H33" s="130"/>
      <c r="I33" s="125"/>
      <c r="J33" s="130"/>
      <c r="K33" s="130"/>
      <c r="L33" s="13"/>
      <c r="M33" s="13"/>
      <c r="N33" s="13"/>
      <c r="O33" s="13"/>
    </row>
    <row r="34" spans="2:15" ht="24" customHeight="1" x14ac:dyDescent="0.3">
      <c r="B34" s="131">
        <f t="shared" si="0"/>
        <v>31</v>
      </c>
      <c r="C34" s="133"/>
      <c r="D34" s="131"/>
      <c r="E34" s="131"/>
      <c r="F34" s="131"/>
      <c r="G34" s="131"/>
      <c r="H34" s="130"/>
      <c r="I34" s="125"/>
      <c r="J34" s="130"/>
      <c r="K34" s="130"/>
      <c r="L34" s="13"/>
      <c r="M34" s="13"/>
      <c r="N34" s="13"/>
      <c r="O34" s="13"/>
    </row>
    <row r="35" spans="2:15" ht="24" customHeight="1" x14ac:dyDescent="0.3">
      <c r="B35" s="131"/>
      <c r="C35" s="133"/>
      <c r="D35" s="131"/>
      <c r="E35" s="131"/>
      <c r="F35" s="131"/>
      <c r="G35" s="131"/>
      <c r="H35" s="130"/>
      <c r="I35" s="125"/>
      <c r="J35" s="130"/>
      <c r="K35" s="130"/>
      <c r="L35" s="13"/>
      <c r="M35" s="13"/>
      <c r="N35" s="13"/>
      <c r="O35" s="13"/>
    </row>
    <row r="36" spans="2:15" ht="24" customHeight="1" x14ac:dyDescent="0.3">
      <c r="B36" s="131"/>
      <c r="C36" s="133"/>
      <c r="D36" s="131"/>
      <c r="E36" s="131"/>
      <c r="F36" s="131"/>
      <c r="G36" s="131"/>
      <c r="H36" s="130"/>
      <c r="I36" s="125"/>
      <c r="J36" s="130"/>
      <c r="K36" s="130"/>
      <c r="L36" s="13"/>
      <c r="M36" s="13"/>
      <c r="N36" s="13"/>
      <c r="O36" s="13"/>
    </row>
    <row r="37" spans="2:15" ht="24" customHeight="1" x14ac:dyDescent="0.3">
      <c r="B37" s="131"/>
      <c r="C37" s="133"/>
      <c r="D37" s="131"/>
      <c r="E37" s="131"/>
      <c r="F37" s="131"/>
      <c r="G37" s="131"/>
      <c r="H37" s="130"/>
      <c r="I37" s="125"/>
      <c r="J37" s="130"/>
      <c r="K37" s="130"/>
      <c r="L37" s="13"/>
      <c r="M37" s="13"/>
      <c r="N37" s="13"/>
      <c r="O37" s="13"/>
    </row>
    <row r="38" spans="2:15" ht="53.4" customHeight="1" x14ac:dyDescent="0.3">
      <c r="B38" s="131"/>
      <c r="C38" s="133"/>
      <c r="D38" s="131"/>
      <c r="E38" s="131"/>
      <c r="F38" s="131"/>
      <c r="G38" s="131"/>
      <c r="H38" s="130"/>
      <c r="I38" s="125"/>
      <c r="J38" s="130"/>
      <c r="K38" s="130"/>
      <c r="L38" s="13"/>
      <c r="M38" s="13"/>
      <c r="N38" s="13"/>
      <c r="O38" s="13"/>
    </row>
    <row r="39" spans="2:15" ht="30.6" customHeight="1" x14ac:dyDescent="0.3">
      <c r="B39" s="130"/>
      <c r="C39" s="130"/>
      <c r="D39" s="130"/>
      <c r="E39" s="130"/>
      <c r="F39" s="130"/>
      <c r="G39" s="130"/>
      <c r="H39" s="130"/>
      <c r="I39" s="125"/>
      <c r="J39" s="130"/>
      <c r="K39" s="130"/>
      <c r="L39" s="13"/>
      <c r="M39" s="13"/>
      <c r="N39" s="13"/>
      <c r="O39" s="13"/>
    </row>
    <row r="40" spans="2:15" ht="24.6" customHeight="1" x14ac:dyDescent="0.3">
      <c r="B40" s="130"/>
      <c r="C40" s="130"/>
      <c r="D40" s="130"/>
      <c r="E40" s="130"/>
      <c r="F40" s="130"/>
      <c r="G40" s="130"/>
      <c r="H40" s="130"/>
      <c r="I40" s="125"/>
      <c r="J40" s="130"/>
      <c r="K40" s="130"/>
      <c r="L40" s="13"/>
      <c r="M40" s="13"/>
      <c r="N40" s="13"/>
      <c r="O40" s="13"/>
    </row>
    <row r="41" spans="2:15" ht="23.4" customHeight="1" x14ac:dyDescent="0.3">
      <c r="B41" s="130"/>
      <c r="C41" s="130"/>
      <c r="D41" s="130"/>
      <c r="E41" s="130"/>
      <c r="F41" s="130"/>
      <c r="G41" s="130"/>
      <c r="H41" s="130"/>
      <c r="I41" s="125"/>
      <c r="J41" s="130"/>
      <c r="K41" s="130"/>
      <c r="L41" s="13"/>
      <c r="M41" s="13"/>
      <c r="N41" s="13"/>
      <c r="O41" s="13"/>
    </row>
    <row r="42" spans="2:15" ht="55.2" customHeight="1" x14ac:dyDescent="0.3">
      <c r="B42" s="130"/>
      <c r="C42" s="130"/>
      <c r="D42" s="130"/>
      <c r="E42" s="130"/>
      <c r="F42" s="130"/>
      <c r="G42" s="130"/>
      <c r="H42" s="130"/>
      <c r="I42" s="125"/>
      <c r="J42" s="130"/>
      <c r="K42" s="130"/>
      <c r="L42" s="13"/>
      <c r="M42" s="13"/>
      <c r="N42" s="13"/>
      <c r="O42" s="13"/>
    </row>
    <row r="43" spans="2:15" ht="21.75" customHeight="1" x14ac:dyDescent="0.3">
      <c r="B43" s="130"/>
      <c r="C43" s="130"/>
      <c r="D43" s="130"/>
      <c r="E43" s="130"/>
      <c r="F43" s="130"/>
      <c r="G43" s="130"/>
      <c r="H43" s="130"/>
      <c r="I43" s="125"/>
      <c r="J43" s="130"/>
      <c r="K43" s="130"/>
      <c r="L43" s="13"/>
      <c r="M43" s="13"/>
      <c r="N43" s="13"/>
      <c r="O43" s="13"/>
    </row>
    <row r="44" spans="2:15" ht="21.75" customHeight="1" x14ac:dyDescent="0.3">
      <c r="B44" s="130"/>
      <c r="C44" s="130"/>
      <c r="D44" s="130"/>
      <c r="E44" s="130"/>
      <c r="F44" s="130"/>
      <c r="G44" s="130"/>
      <c r="H44" s="130"/>
      <c r="I44" s="125"/>
      <c r="J44" s="130"/>
      <c r="K44" s="130"/>
      <c r="L44" s="13"/>
      <c r="M44" s="13"/>
      <c r="N44" s="13"/>
      <c r="O44" s="13"/>
    </row>
    <row r="45" spans="2:15" ht="54.6" customHeight="1" x14ac:dyDescent="0.3">
      <c r="B45" s="130"/>
      <c r="C45" s="130"/>
      <c r="D45" s="130"/>
      <c r="E45" s="130"/>
      <c r="F45" s="130"/>
      <c r="G45" s="130"/>
      <c r="H45" s="130"/>
      <c r="I45" s="125"/>
      <c r="J45" s="130"/>
      <c r="K45" s="130"/>
      <c r="L45" s="13"/>
      <c r="M45" s="13"/>
      <c r="N45" s="13"/>
      <c r="O45" s="13"/>
    </row>
    <row r="46" spans="2:15" ht="57.75" customHeight="1" x14ac:dyDescent="0.3">
      <c r="B46" s="130"/>
      <c r="C46" s="130"/>
      <c r="D46" s="130"/>
      <c r="E46" s="130"/>
      <c r="F46" s="130"/>
      <c r="G46" s="130"/>
      <c r="H46" s="130"/>
      <c r="I46" s="125"/>
      <c r="J46" s="130"/>
      <c r="K46" s="130"/>
      <c r="L46" s="13"/>
      <c r="M46" s="13"/>
      <c r="N46" s="13"/>
      <c r="O46" s="13"/>
    </row>
    <row r="47" spans="2:15" ht="45.6" customHeight="1" x14ac:dyDescent="0.3">
      <c r="B47" s="130"/>
      <c r="C47" s="130"/>
      <c r="D47" s="130"/>
      <c r="E47" s="130"/>
      <c r="F47" s="130"/>
      <c r="G47" s="130"/>
      <c r="H47" s="130"/>
      <c r="I47" s="125"/>
      <c r="J47" s="130"/>
      <c r="K47" s="130"/>
      <c r="L47" s="13"/>
      <c r="M47" s="13"/>
      <c r="N47" s="13"/>
      <c r="O47" s="13"/>
    </row>
    <row r="48" spans="2:15" ht="58.95" customHeight="1" x14ac:dyDescent="0.3">
      <c r="B48" s="130"/>
      <c r="C48" s="130"/>
      <c r="D48" s="130"/>
      <c r="E48" s="130"/>
      <c r="F48" s="130"/>
      <c r="G48" s="130"/>
      <c r="H48" s="130"/>
      <c r="I48" s="125"/>
      <c r="J48" s="130"/>
      <c r="K48" s="130"/>
      <c r="L48" s="13"/>
      <c r="M48" s="13"/>
      <c r="N48" s="13"/>
      <c r="O48" s="13"/>
    </row>
    <row r="49" spans="2:15" ht="49.95" customHeight="1" x14ac:dyDescent="0.3">
      <c r="B49" s="130"/>
      <c r="C49" s="130"/>
      <c r="D49" s="130"/>
      <c r="E49" s="130"/>
      <c r="F49" s="130"/>
      <c r="G49" s="130"/>
      <c r="H49" s="130"/>
      <c r="I49" s="125"/>
      <c r="J49" s="130"/>
      <c r="K49" s="130"/>
      <c r="L49" s="13"/>
      <c r="M49" s="13"/>
      <c r="N49" s="13"/>
      <c r="O49" s="13"/>
    </row>
    <row r="50" spans="2:15" ht="52.95" customHeight="1" x14ac:dyDescent="0.3">
      <c r="B50" s="130"/>
      <c r="C50" s="130"/>
      <c r="D50" s="130"/>
      <c r="E50" s="130"/>
      <c r="F50" s="130"/>
      <c r="G50" s="130"/>
      <c r="H50" s="130"/>
      <c r="I50" s="125"/>
      <c r="J50" s="130"/>
      <c r="K50" s="130"/>
      <c r="L50" s="13"/>
      <c r="M50" s="13"/>
      <c r="N50" s="13"/>
      <c r="O50" s="13"/>
    </row>
    <row r="51" spans="2:15" ht="56.4" customHeight="1" x14ac:dyDescent="0.3">
      <c r="B51" s="130"/>
      <c r="C51" s="130"/>
      <c r="D51" s="130"/>
      <c r="E51" s="130"/>
      <c r="F51" s="130"/>
      <c r="G51" s="130"/>
      <c r="H51" s="130"/>
      <c r="I51" s="125"/>
      <c r="J51" s="130"/>
      <c r="K51" s="130"/>
      <c r="L51" s="13"/>
      <c r="M51" s="13"/>
      <c r="N51" s="13"/>
      <c r="O51" s="13"/>
    </row>
    <row r="52" spans="2:15" ht="21.75" customHeight="1" x14ac:dyDescent="0.3">
      <c r="B52" s="130"/>
      <c r="C52" s="130"/>
      <c r="D52" s="130"/>
      <c r="E52" s="130"/>
      <c r="F52" s="130"/>
      <c r="G52" s="130"/>
      <c r="H52" s="130"/>
      <c r="I52" s="125"/>
      <c r="J52" s="130"/>
      <c r="K52" s="130"/>
      <c r="L52" s="13"/>
      <c r="M52" s="13"/>
      <c r="N52" s="13"/>
      <c r="O52" s="13"/>
    </row>
    <row r="53" spans="2:15" ht="21.75" customHeight="1" x14ac:dyDescent="0.3">
      <c r="B53" s="130"/>
      <c r="C53" s="130"/>
      <c r="D53" s="130"/>
      <c r="E53" s="130"/>
      <c r="F53" s="130"/>
      <c r="G53" s="130"/>
      <c r="H53" s="130"/>
      <c r="I53" s="125"/>
      <c r="J53" s="130"/>
      <c r="K53" s="130"/>
      <c r="L53" s="13"/>
      <c r="M53" s="13"/>
      <c r="N53" s="13"/>
      <c r="O53" s="13"/>
    </row>
    <row r="54" spans="2:15" ht="37.5" customHeight="1" x14ac:dyDescent="0.3">
      <c r="B54" s="130"/>
      <c r="C54" s="130"/>
      <c r="D54" s="130"/>
      <c r="E54" s="130"/>
      <c r="F54" s="130"/>
      <c r="G54" s="130"/>
      <c r="H54" s="130"/>
      <c r="I54" s="125"/>
      <c r="J54" s="130"/>
      <c r="K54" s="130"/>
      <c r="L54" s="13"/>
      <c r="M54" s="13"/>
      <c r="N54" s="13"/>
      <c r="O54" s="13"/>
    </row>
    <row r="55" spans="2:15" ht="21.75" customHeight="1" x14ac:dyDescent="0.3">
      <c r="B55" s="130"/>
      <c r="C55" s="130"/>
      <c r="D55" s="130"/>
      <c r="E55" s="130"/>
      <c r="F55" s="130"/>
      <c r="G55" s="130"/>
      <c r="H55" s="130"/>
      <c r="I55" s="125"/>
      <c r="J55" s="130"/>
      <c r="K55" s="130"/>
      <c r="L55" s="13"/>
      <c r="M55" s="13"/>
      <c r="N55" s="13"/>
      <c r="O55" s="13"/>
    </row>
    <row r="56" spans="2:15" ht="21.75" customHeight="1" x14ac:dyDescent="0.3">
      <c r="B56" s="130"/>
      <c r="C56" s="130"/>
      <c r="D56" s="130"/>
      <c r="E56" s="130"/>
      <c r="F56" s="130"/>
      <c r="G56" s="130"/>
      <c r="H56" s="130"/>
      <c r="I56" s="125"/>
      <c r="J56" s="130"/>
      <c r="K56" s="130"/>
      <c r="L56" s="13"/>
      <c r="M56" s="13"/>
      <c r="N56" s="13"/>
      <c r="O56" s="13"/>
    </row>
    <row r="57" spans="2:15" ht="49.2" customHeight="1" x14ac:dyDescent="0.3">
      <c r="B57" s="130"/>
      <c r="C57" s="130"/>
      <c r="D57" s="130"/>
      <c r="E57" s="130"/>
      <c r="F57" s="130"/>
      <c r="G57" s="130"/>
      <c r="H57" s="130"/>
      <c r="I57" s="125"/>
      <c r="J57" s="130"/>
      <c r="K57" s="130"/>
      <c r="L57" s="13"/>
      <c r="M57" s="13"/>
      <c r="N57" s="13"/>
      <c r="O57" s="13"/>
    </row>
    <row r="58" spans="2:15" ht="52.5" customHeight="1" x14ac:dyDescent="0.3">
      <c r="B58" s="130"/>
      <c r="C58" s="130"/>
      <c r="D58" s="130"/>
      <c r="E58" s="130"/>
      <c r="F58" s="130"/>
      <c r="G58" s="130"/>
      <c r="H58" s="130"/>
      <c r="I58" s="125"/>
      <c r="J58" s="130"/>
      <c r="K58" s="130"/>
      <c r="L58" s="13"/>
      <c r="M58" s="13"/>
      <c r="N58" s="13"/>
      <c r="O58" s="13"/>
    </row>
    <row r="59" spans="2:15" ht="21.75" customHeight="1" x14ac:dyDescent="0.3">
      <c r="B59" s="130"/>
      <c r="C59" s="130"/>
      <c r="D59" s="130"/>
      <c r="E59" s="130"/>
      <c r="F59" s="130"/>
      <c r="G59" s="130"/>
      <c r="H59" s="130"/>
      <c r="I59" s="125"/>
      <c r="J59" s="130"/>
      <c r="K59" s="130"/>
      <c r="L59" s="13"/>
      <c r="M59" s="13"/>
      <c r="N59" s="13"/>
      <c r="O59" s="13"/>
    </row>
    <row r="60" spans="2:15" ht="28.2" customHeight="1" x14ac:dyDescent="0.3">
      <c r="B60" s="130"/>
      <c r="C60" s="130"/>
      <c r="D60" s="130"/>
      <c r="E60" s="130"/>
      <c r="F60" s="130"/>
      <c r="G60" s="130"/>
      <c r="H60" s="130"/>
      <c r="I60" s="125"/>
      <c r="J60" s="130"/>
      <c r="K60" s="130"/>
      <c r="L60" s="13"/>
      <c r="M60" s="13"/>
      <c r="N60" s="13"/>
      <c r="O60" s="13"/>
    </row>
    <row r="61" spans="2:15" ht="21.75" customHeight="1" x14ac:dyDescent="0.3">
      <c r="B61" s="130"/>
      <c r="C61" s="130"/>
      <c r="D61" s="130"/>
      <c r="E61" s="130"/>
      <c r="F61" s="130"/>
      <c r="G61" s="130"/>
      <c r="H61" s="130"/>
      <c r="I61" s="125"/>
      <c r="J61" s="130"/>
      <c r="K61" s="130"/>
      <c r="L61" s="13"/>
      <c r="M61" s="13"/>
      <c r="N61" s="13"/>
      <c r="O61" s="13"/>
    </row>
    <row r="62" spans="2:15" ht="44.25" customHeight="1" x14ac:dyDescent="0.3">
      <c r="B62" s="130"/>
      <c r="C62" s="130"/>
      <c r="D62" s="130"/>
      <c r="E62" s="130"/>
      <c r="F62" s="130"/>
      <c r="G62" s="130"/>
      <c r="H62" s="130"/>
      <c r="I62" s="125"/>
      <c r="J62" s="130"/>
      <c r="K62" s="130"/>
      <c r="L62" s="13"/>
      <c r="M62" s="13"/>
      <c r="N62" s="13"/>
      <c r="O62" s="13"/>
    </row>
    <row r="63" spans="2:15" ht="21.75" customHeight="1" x14ac:dyDescent="0.3">
      <c r="B63" s="130"/>
      <c r="C63" s="130"/>
      <c r="D63" s="130"/>
      <c r="E63" s="130"/>
      <c r="F63" s="130"/>
      <c r="G63" s="130"/>
      <c r="H63" s="130"/>
      <c r="I63" s="125"/>
      <c r="J63" s="130"/>
      <c r="K63" s="130"/>
      <c r="L63" s="13"/>
      <c r="M63" s="13"/>
      <c r="N63" s="13"/>
      <c r="O63" s="13"/>
    </row>
    <row r="64" spans="2:15" ht="46.5" customHeight="1" x14ac:dyDescent="0.3">
      <c r="B64" s="130"/>
      <c r="C64" s="130"/>
      <c r="D64" s="130"/>
      <c r="E64" s="130"/>
      <c r="F64" s="130"/>
      <c r="G64" s="130"/>
      <c r="H64" s="130"/>
      <c r="I64" s="125"/>
      <c r="J64" s="130"/>
      <c r="K64" s="130"/>
      <c r="L64" s="13"/>
      <c r="M64" s="13"/>
      <c r="N64" s="13"/>
      <c r="O64" s="13"/>
    </row>
    <row r="65" spans="2:15" ht="21" customHeight="1" x14ac:dyDescent="0.3">
      <c r="B65" s="130"/>
      <c r="C65" s="130"/>
      <c r="D65" s="130"/>
      <c r="E65" s="130"/>
      <c r="F65" s="130"/>
      <c r="G65" s="130"/>
      <c r="H65" s="130"/>
      <c r="I65" s="125"/>
      <c r="J65" s="130"/>
      <c r="K65" s="130"/>
      <c r="L65" s="13"/>
      <c r="M65" s="13"/>
      <c r="N65" s="13"/>
      <c r="O65" s="13"/>
    </row>
    <row r="66" spans="2:15" ht="26.4" customHeight="1" x14ac:dyDescent="0.3">
      <c r="B66" s="130"/>
      <c r="C66" s="130"/>
      <c r="D66" s="130"/>
      <c r="E66" s="130"/>
      <c r="F66" s="130"/>
      <c r="G66" s="130"/>
      <c r="H66" s="130"/>
      <c r="I66" s="130"/>
      <c r="J66" s="130"/>
      <c r="K66" s="130"/>
      <c r="L66" s="13"/>
      <c r="M66" s="13"/>
      <c r="N66" s="13"/>
      <c r="O66" s="13"/>
    </row>
    <row r="67" spans="2:15" ht="46.2" customHeight="1" x14ac:dyDescent="0.4">
      <c r="B67" s="162"/>
      <c r="C67" s="165"/>
      <c r="D67" s="162"/>
      <c r="E67" s="164"/>
      <c r="F67" s="173"/>
      <c r="G67" s="130"/>
      <c r="H67" s="130"/>
      <c r="I67" s="125"/>
      <c r="J67" s="130"/>
      <c r="K67" s="130"/>
      <c r="L67" s="13"/>
      <c r="M67" s="13"/>
      <c r="N67" s="13"/>
      <c r="O67" s="13"/>
    </row>
    <row r="68" spans="2:15" ht="52.95" customHeight="1" x14ac:dyDescent="0.3">
      <c r="B68" s="162"/>
      <c r="C68" s="165"/>
      <c r="D68" s="162"/>
      <c r="E68" s="164"/>
      <c r="F68" s="162"/>
      <c r="G68" s="130"/>
      <c r="H68" s="130"/>
      <c r="I68" s="125"/>
      <c r="J68" s="130"/>
      <c r="K68" s="130"/>
      <c r="L68" s="13"/>
      <c r="M68" s="13"/>
      <c r="N68" s="13"/>
      <c r="O68" s="13"/>
    </row>
    <row r="69" spans="2:15" ht="23.4" customHeight="1" x14ac:dyDescent="0.3">
      <c r="B69" s="162"/>
      <c r="C69" s="172"/>
      <c r="D69" s="125"/>
      <c r="E69" s="162"/>
      <c r="F69" s="125"/>
      <c r="G69" s="130"/>
      <c r="H69" s="130"/>
      <c r="I69" s="125"/>
      <c r="J69" s="130"/>
      <c r="K69" s="130"/>
      <c r="L69" s="13"/>
      <c r="M69" s="13"/>
      <c r="N69" s="13"/>
      <c r="O69" s="13"/>
    </row>
    <row r="70" spans="2:15" ht="23.4" customHeight="1" x14ac:dyDescent="0.3">
      <c r="B70" s="162"/>
      <c r="C70" s="165"/>
      <c r="D70" s="162"/>
      <c r="E70" s="171"/>
      <c r="F70" s="162"/>
      <c r="G70" s="130"/>
      <c r="H70" s="130"/>
      <c r="I70" s="125"/>
      <c r="J70" s="130"/>
      <c r="K70" s="130"/>
      <c r="L70" s="13"/>
      <c r="M70" s="13"/>
      <c r="N70" s="13"/>
      <c r="O70" s="13"/>
    </row>
    <row r="71" spans="2:15" ht="23.4" customHeight="1" x14ac:dyDescent="0.3">
      <c r="B71" s="162"/>
      <c r="C71" s="165"/>
      <c r="D71" s="162"/>
      <c r="E71" s="171"/>
      <c r="F71" s="162"/>
      <c r="G71" s="130"/>
      <c r="H71" s="130"/>
      <c r="I71" s="125"/>
      <c r="J71" s="130"/>
      <c r="K71" s="130"/>
      <c r="L71" s="13"/>
      <c r="M71" s="13"/>
      <c r="N71" s="13"/>
      <c r="O71" s="13"/>
    </row>
    <row r="72" spans="2:15" ht="45" customHeight="1" x14ac:dyDescent="0.3">
      <c r="B72" s="162"/>
      <c r="C72" s="160"/>
      <c r="D72" s="162"/>
      <c r="E72" s="162"/>
      <c r="F72" s="162"/>
      <c r="G72" s="130"/>
      <c r="H72" s="130"/>
      <c r="I72" s="125"/>
      <c r="J72" s="130"/>
      <c r="K72" s="130"/>
      <c r="L72" s="13"/>
      <c r="M72" s="13"/>
      <c r="N72" s="13"/>
      <c r="O72" s="13"/>
    </row>
    <row r="73" spans="2:15" ht="51.6" customHeight="1" x14ac:dyDescent="0.3">
      <c r="B73" s="162"/>
      <c r="C73" s="160"/>
      <c r="D73" s="162"/>
      <c r="E73" s="162"/>
      <c r="F73" s="162"/>
      <c r="G73" s="130"/>
      <c r="H73" s="130"/>
      <c r="I73" s="125"/>
      <c r="J73" s="130"/>
      <c r="K73" s="130"/>
      <c r="L73" s="13"/>
      <c r="M73" s="13"/>
      <c r="N73" s="13"/>
      <c r="O73" s="13"/>
    </row>
    <row r="74" spans="2:15" ht="27" customHeight="1" x14ac:dyDescent="0.3">
      <c r="B74" s="162"/>
      <c r="C74" s="160"/>
      <c r="D74" s="162"/>
      <c r="E74" s="162"/>
      <c r="F74" s="162"/>
      <c r="G74" s="130"/>
      <c r="H74" s="130"/>
      <c r="I74" s="125"/>
      <c r="J74" s="130"/>
      <c r="K74" s="130"/>
      <c r="L74" s="13"/>
      <c r="M74" s="13"/>
      <c r="N74" s="13"/>
      <c r="O74" s="13"/>
    </row>
    <row r="75" spans="2:15" ht="47.4" customHeight="1" x14ac:dyDescent="0.3">
      <c r="B75" s="162"/>
      <c r="C75" s="165"/>
      <c r="D75" s="162"/>
      <c r="E75" s="171"/>
      <c r="F75" s="162"/>
      <c r="G75" s="130"/>
      <c r="H75" s="130"/>
      <c r="I75" s="125"/>
      <c r="J75" s="130"/>
      <c r="K75" s="130"/>
      <c r="L75" s="13"/>
      <c r="M75" s="13"/>
      <c r="N75" s="13"/>
      <c r="O75" s="13"/>
    </row>
    <row r="76" spans="2:15" ht="23.4" customHeight="1" x14ac:dyDescent="0.3">
      <c r="B76" s="162"/>
      <c r="C76" s="130"/>
      <c r="D76" s="125"/>
      <c r="E76" s="162"/>
      <c r="F76" s="125"/>
      <c r="G76" s="130"/>
      <c r="H76" s="130"/>
      <c r="I76" s="125"/>
      <c r="J76" s="130"/>
      <c r="K76" s="130"/>
      <c r="L76" s="13"/>
      <c r="M76" s="13"/>
      <c r="N76" s="13"/>
      <c r="O76" s="13"/>
    </row>
    <row r="77" spans="2:15" ht="48.75" customHeight="1" x14ac:dyDescent="0.3">
      <c r="B77" s="162"/>
      <c r="C77" s="165"/>
      <c r="D77" s="162"/>
      <c r="E77" s="162"/>
      <c r="F77" s="170"/>
      <c r="G77" s="130"/>
      <c r="H77" s="130"/>
      <c r="I77" s="125"/>
      <c r="J77" s="130"/>
      <c r="K77" s="130"/>
      <c r="L77" s="13"/>
      <c r="M77" s="13"/>
      <c r="N77" s="13"/>
      <c r="O77" s="13"/>
    </row>
    <row r="78" spans="2:15" ht="71.400000000000006" customHeight="1" x14ac:dyDescent="0.3">
      <c r="B78" s="162"/>
      <c r="C78" s="169"/>
      <c r="D78" s="162"/>
      <c r="E78" s="162"/>
      <c r="F78" s="162"/>
      <c r="G78" s="130"/>
      <c r="H78" s="130"/>
      <c r="I78" s="125"/>
      <c r="J78" s="130"/>
      <c r="K78" s="130"/>
      <c r="L78" s="13"/>
      <c r="M78" s="13"/>
      <c r="N78" s="13"/>
      <c r="O78" s="13"/>
    </row>
    <row r="79" spans="2:15" ht="46.95" customHeight="1" x14ac:dyDescent="0.3">
      <c r="B79" s="162"/>
      <c r="C79" s="168"/>
      <c r="D79" s="162"/>
      <c r="E79" s="162"/>
      <c r="F79" s="162"/>
      <c r="G79" s="130"/>
      <c r="H79" s="130"/>
      <c r="I79" s="125"/>
      <c r="J79" s="130"/>
      <c r="K79" s="130"/>
      <c r="L79" s="13"/>
      <c r="M79" s="13"/>
      <c r="N79" s="13"/>
      <c r="O79" s="13"/>
    </row>
    <row r="80" spans="2:15" ht="37.950000000000003" customHeight="1" x14ac:dyDescent="0.3">
      <c r="B80" s="162"/>
      <c r="C80" s="168"/>
      <c r="D80" s="129"/>
      <c r="E80" s="128"/>
      <c r="F80" s="35"/>
      <c r="G80" s="130"/>
      <c r="H80" s="130"/>
      <c r="I80" s="125"/>
      <c r="J80" s="130"/>
      <c r="K80" s="130"/>
      <c r="L80" s="13"/>
      <c r="M80" s="13"/>
      <c r="N80" s="13"/>
      <c r="O80" s="13"/>
    </row>
    <row r="81" spans="2:15" ht="18" customHeight="1" x14ac:dyDescent="0.3">
      <c r="B81" s="167"/>
      <c r="C81" s="166"/>
      <c r="D81" s="166"/>
      <c r="E81" s="166"/>
      <c r="F81" s="166"/>
      <c r="G81" s="130"/>
      <c r="J81" s="159"/>
      <c r="K81" s="159"/>
      <c r="L81" s="159"/>
      <c r="M81" s="159"/>
      <c r="N81" s="159"/>
      <c r="O81" s="159"/>
    </row>
    <row r="82" spans="2:15" ht="21.45" customHeight="1" x14ac:dyDescent="0.3">
      <c r="B82" s="167"/>
      <c r="C82" s="166"/>
      <c r="D82" s="166"/>
      <c r="E82" s="166"/>
      <c r="F82" s="166"/>
      <c r="G82" s="130"/>
      <c r="J82" s="159"/>
      <c r="K82" s="159"/>
      <c r="L82" s="159"/>
      <c r="M82" s="159"/>
      <c r="N82" s="159"/>
      <c r="O82" s="159"/>
    </row>
    <row r="83" spans="2:15" ht="48" customHeight="1" x14ac:dyDescent="0.3">
      <c r="B83" s="162"/>
      <c r="C83" s="165"/>
      <c r="D83" s="162"/>
      <c r="E83" s="164"/>
      <c r="F83" s="162"/>
      <c r="G83" s="130"/>
      <c r="J83" s="159"/>
      <c r="K83" s="159"/>
      <c r="L83" s="159"/>
      <c r="M83" s="159"/>
      <c r="N83" s="159"/>
      <c r="O83" s="159"/>
    </row>
    <row r="84" spans="2:15" ht="47.4" customHeight="1" x14ac:dyDescent="0.3">
      <c r="B84" s="162"/>
      <c r="C84" s="160"/>
      <c r="D84" s="163"/>
      <c r="E84" s="128"/>
      <c r="F84" s="128"/>
      <c r="G84" s="130"/>
      <c r="J84" s="159"/>
      <c r="K84" s="159"/>
      <c r="L84" s="159"/>
      <c r="M84" s="159"/>
      <c r="N84" s="159"/>
      <c r="O84" s="159"/>
    </row>
    <row r="85" spans="2:15" ht="47.4" customHeight="1" x14ac:dyDescent="0.3">
      <c r="B85" s="162"/>
      <c r="C85" s="160"/>
      <c r="D85" s="163"/>
      <c r="E85" s="128"/>
      <c r="F85" s="163"/>
      <c r="G85" s="130"/>
      <c r="J85" s="159"/>
      <c r="K85" s="159"/>
      <c r="L85" s="159"/>
      <c r="M85" s="159"/>
      <c r="N85" s="159"/>
      <c r="O85" s="159"/>
    </row>
    <row r="86" spans="2:15" ht="38.85" customHeight="1" x14ac:dyDescent="0.3">
      <c r="B86" s="162"/>
      <c r="C86" s="160"/>
      <c r="D86" s="162"/>
      <c r="E86" s="128"/>
      <c r="F86" s="160"/>
      <c r="G86" s="130"/>
      <c r="J86" s="159"/>
      <c r="K86" s="159"/>
      <c r="L86" s="159"/>
      <c r="M86" s="159"/>
      <c r="N86" s="159"/>
      <c r="O86" s="159"/>
    </row>
    <row r="87" spans="2:15" ht="38.85" customHeight="1" x14ac:dyDescent="0.3">
      <c r="B87" s="162"/>
      <c r="C87" s="160"/>
      <c r="D87" s="161"/>
      <c r="E87" s="128"/>
      <c r="F87" s="160"/>
      <c r="G87" s="130"/>
      <c r="J87" s="159"/>
      <c r="K87" s="159"/>
      <c r="L87" s="159"/>
      <c r="M87" s="159"/>
      <c r="N87" s="159"/>
      <c r="O87" s="159"/>
    </row>
    <row r="91" spans="2:15" ht="23.4" customHeight="1" x14ac:dyDescent="0.3"/>
    <row r="92" spans="2:15" ht="39.6" customHeight="1" x14ac:dyDescent="0.3"/>
    <row r="96" spans="2:15" ht="34.950000000000003" customHeight="1" x14ac:dyDescent="0.3"/>
  </sheetData>
  <mergeCells count="1">
    <mergeCell ref="B1:G2"/>
  </mergeCells>
  <pageMargins left="0.74791666666666701" right="0.74791666666666701" top="0.98402777777777795" bottom="0.98402777777777795" header="0.51180555555555496" footer="0.51180555555555496"/>
  <pageSetup paperSize="0" scale="0" firstPageNumber="0" fitToHeight="5" pageOrder="overThenDown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</vt:i4>
      </vt:variant>
    </vt:vector>
  </HeadingPairs>
  <TitlesOfParts>
    <vt:vector size="29" baseType="lpstr">
      <vt:lpstr>Результат</vt:lpstr>
      <vt:lpstr>Исходные данные</vt:lpstr>
      <vt:lpstr>Промежуточный расчет</vt:lpstr>
      <vt:lpstr>Регулятор</vt:lpstr>
      <vt:lpstr>Тепл баланс</vt:lpstr>
      <vt:lpstr>Свх</vt:lpstr>
      <vt:lpstr>Свхвыхкот</vt:lpstr>
      <vt:lpstr>Расчет тепл мощности</vt:lpstr>
      <vt:lpstr>Регулятор!D</vt:lpstr>
      <vt:lpstr>Регулятор!DPкг</vt:lpstr>
      <vt:lpstr>Регулятор!E</vt:lpstr>
      <vt:lpstr>'Расчет тепл мощности'!Excel_BuiltIn_Print_Area_2</vt:lpstr>
      <vt:lpstr>Свхвыхкот!Excel_BuiltIn_Print_Area_4</vt:lpstr>
      <vt:lpstr>Excel_BuiltIn_Print_Area_4</vt:lpstr>
      <vt:lpstr>Регулятор!gn</vt:lpstr>
      <vt:lpstr>Регулятор!P_1</vt:lpstr>
      <vt:lpstr>Регулятор!P_1кг</vt:lpstr>
      <vt:lpstr>Регулятор!P_2</vt:lpstr>
      <vt:lpstr>Регулятор!P_2кг</vt:lpstr>
      <vt:lpstr>'Исходные данные'!Print_Area</vt:lpstr>
      <vt:lpstr>'Тепл баланс'!Print_Area</vt:lpstr>
      <vt:lpstr>'Тепл баланс'!Print_Area_0</vt:lpstr>
      <vt:lpstr>'Тепл баланс'!Print_Area_0_0</vt:lpstr>
      <vt:lpstr>'Тепл баланс'!Print_Area_0_0_0</vt:lpstr>
      <vt:lpstr>'Тепл баланс'!Print_Area_0_0_0_0</vt:lpstr>
      <vt:lpstr>Регулятор!Qmax</vt:lpstr>
      <vt:lpstr>Регулятор!Qmin</vt:lpstr>
      <vt:lpstr>Регулятор!t</vt:lpstr>
      <vt:lpstr>Регулятор!T_1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2025-03-11T05:26:45Z</dcterms:modified>
</cp:coreProperties>
</file>